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EKAP FIL GABAH BERAS" sheetId="1" state="visible" r:id="rId1"/>
    <sheet xmlns:r="http://schemas.openxmlformats.org/officeDocument/2006/relationships" name="REKAP FIL MIGOR" sheetId="2" state="visible" r:id="rId2"/>
  </sheets>
  <definedNames>
    <definedName name="_xlnm._FilterDatabase" localSheetId="0" hidden="1">'REKAP FIL GABAH BERAS'!$B$4:$M$219</definedName>
    <definedName name="_xlnm.Print_Area" localSheetId="0">'REKAP FIL GABAH BERAS'!$B$2:$L$36</definedName>
    <definedName name="_xlnm._FilterDatabase" localSheetId="1" hidden="1">'REKAP FIL MIGOR'!$B$4:$P$17</definedName>
    <definedName name="_xlnm.Print_Area" localSheetId="1">'REKAP FIL MIGOR'!$B$2:$M$17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00243B64"/>
      </patternFill>
    </fill>
    <fill>
      <patternFill patternType="solid">
        <fgColor rgb="00FFF2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7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43" fontId="0" fillId="0" borderId="1" pivotButton="0" quotePrefix="0" xfId="1"/>
    <xf numFmtId="1" fontId="0" fillId="0" borderId="0" applyAlignment="1" pivotButton="0" quotePrefix="0" xfId="0">
      <alignment horizontal="center" vertical="center"/>
    </xf>
    <xf numFmtId="1" fontId="0" fillId="0" borderId="1" applyAlignment="1" pivotButton="0" quotePrefix="0" xfId="1">
      <alignment horizontal="center" vertical="center"/>
    </xf>
    <xf numFmtId="43" fontId="0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43" fontId="0" fillId="0" borderId="0" pivotButton="0" quotePrefix="0" xfId="1"/>
    <xf numFmtId="0" fontId="0" fillId="0" borderId="4" applyAlignment="1" pivotButton="0" quotePrefix="0" xfId="0">
      <alignment horizontal="left" vertical="center"/>
    </xf>
    <xf numFmtId="43" fontId="0" fillId="0" borderId="3" applyAlignment="1" pivotButton="0" quotePrefix="0" xfId="1">
      <alignment horizontal="center" vertical="center"/>
    </xf>
    <xf numFmtId="43" fontId="4" fillId="0" borderId="1" pivotButton="0" quotePrefix="0" xfId="1"/>
    <xf numFmtId="43" fontId="4" fillId="0" borderId="3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43" fontId="0" fillId="0" borderId="0" applyAlignment="1" pivotButton="0" quotePrefix="0" xfId="1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1" fontId="4" fillId="0" borderId="1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1" fontId="6" fillId="2" borderId="1" applyAlignment="1" pivotButton="0" quotePrefix="0" xfId="1">
      <alignment horizontal="center" vertical="center" wrapText="1"/>
    </xf>
    <xf numFmtId="43" fontId="6" fillId="2" borderId="1" pivotButton="0" quotePrefix="0" xfId="1"/>
    <xf numFmtId="1" fontId="6" fillId="2" borderId="1" applyAlignment="1" pivotButton="0" quotePrefix="0" xfId="1">
      <alignment horizontal="center" vertical="center"/>
    </xf>
    <xf numFmtId="0" fontId="7" fillId="2" borderId="1" pivotButton="0" quotePrefix="0" xfId="0"/>
    <xf numFmtId="0" fontId="0" fillId="2" borderId="4" applyAlignment="1" pivotButton="0" quotePrefix="0" xfId="0">
      <alignment horizontal="left"/>
    </xf>
    <xf numFmtId="0" fontId="0" fillId="2" borderId="1" pivotButton="0" quotePrefix="0" xfId="0"/>
    <xf numFmtId="43" fontId="4" fillId="0" borderId="3" applyAlignment="1" pivotButton="0" quotePrefix="0" xfId="1">
      <alignment horizontal="center" vertical="center"/>
    </xf>
    <xf numFmtId="1" fontId="4" fillId="0" borderId="1" applyAlignment="1" pivotButton="0" quotePrefix="0" xfId="1">
      <alignment horizontal="center" vertical="center"/>
    </xf>
    <xf numFmtId="43" fontId="4" fillId="0" borderId="1" pivotButton="0" quotePrefix="0" xfId="1"/>
    <xf numFmtId="0" fontId="8" fillId="2" borderId="1" applyAlignment="1" pivotButton="0" quotePrefix="0" xfId="0">
      <alignment horizontal="center" vertical="center"/>
    </xf>
    <xf numFmtId="43" fontId="8" fillId="2" borderId="1" pivotButton="0" quotePrefix="0" xfId="1"/>
    <xf numFmtId="1" fontId="8" fillId="2" borderId="1" applyAlignment="1" pivotButton="0" quotePrefix="0" xfId="1">
      <alignment horizontal="center" vertical="center"/>
    </xf>
    <xf numFmtId="0" fontId="9" fillId="2" borderId="1" pivotButton="0" quotePrefix="0" xfId="0"/>
    <xf numFmtId="0" fontId="8" fillId="2" borderId="1" applyAlignment="1" pivotButton="0" quotePrefix="0" xfId="0">
      <alignment horizontal="center" vertical="center"/>
    </xf>
    <xf numFmtId="1" fontId="6" fillId="2" borderId="5" applyAlignment="1" pivotButton="0" quotePrefix="0" xfId="0">
      <alignment horizontal="center" vertical="center"/>
    </xf>
    <xf numFmtId="1" fontId="6" fillId="2" borderId="6" applyAlignment="1" pivotButton="0" quotePrefix="0" xfId="0">
      <alignment horizontal="center" vertical="center"/>
    </xf>
    <xf numFmtId="1" fontId="6" fillId="2" borderId="4" applyAlignment="1" pivotButton="0" quotePrefix="0" xfId="0">
      <alignment horizontal="center" vertical="center"/>
    </xf>
    <xf numFmtId="43" fontId="6" fillId="2" borderId="2" applyAlignment="1" pivotButton="0" quotePrefix="0" xfId="1">
      <alignment horizontal="center" vertical="center" wrapText="1"/>
    </xf>
    <xf numFmtId="43" fontId="6" fillId="2" borderId="3" applyAlignment="1" pivotButton="0" quotePrefix="0" xfId="1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43" fontId="0" fillId="0" borderId="2" applyAlignment="1" pivotButton="0" quotePrefix="0" xfId="1">
      <alignment horizontal="center" vertical="center"/>
    </xf>
    <xf numFmtId="43" fontId="0" fillId="0" borderId="3" applyAlignment="1" pivotButton="0" quotePrefix="0" xfId="1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1" fontId="6" fillId="2" borderId="8" applyAlignment="1" pivotButton="0" quotePrefix="0" xfId="1">
      <alignment horizontal="center" vertical="center" wrapText="1"/>
    </xf>
    <xf numFmtId="1" fontId="6" fillId="2" borderId="3" applyAlignment="1" pivotButton="0" quotePrefix="0" xfId="1">
      <alignment horizontal="center" vertical="center" wrapText="1"/>
    </xf>
    <xf numFmtId="0" fontId="0" fillId="0" borderId="7" pivotButton="0" quotePrefix="0" xfId="0"/>
    <xf numFmtId="43" fontId="6" fillId="2" borderId="1" applyAlignment="1" pivotButton="0" quotePrefix="0" xfId="1">
      <alignment horizontal="center" vertical="center" wrapText="1"/>
    </xf>
    <xf numFmtId="1" fontId="6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10" fillId="3" borderId="0" applyAlignment="1" pivotButton="0" quotePrefix="0" xfId="0">
      <alignment horizontal="center"/>
    </xf>
    <xf numFmtId="0" fontId="0" fillId="0" borderId="3" pivotButton="0" quotePrefix="0" xfId="0"/>
    <xf numFmtId="43" fontId="4" fillId="0" borderId="1" pivotButton="0" quotePrefix="0" xfId="1"/>
    <xf numFmtId="0" fontId="4" fillId="4" borderId="1" pivotButton="0" quotePrefix="0" xfId="0"/>
    <xf numFmtId="0" fontId="0" fillId="4" borderId="0" pivotButton="0" quotePrefix="0" xfId="0"/>
    <xf numFmtId="43" fontId="4" fillId="0" borderId="3" applyAlignment="1" pivotButton="0" quotePrefix="0" xfId="1">
      <alignment horizontal="center" vertical="center"/>
    </xf>
    <xf numFmtId="43" fontId="8" fillId="2" borderId="1" pivotButton="0" quotePrefix="0" xfId="1"/>
    <xf numFmtId="43" fontId="0" fillId="0" borderId="0" pivotButton="0" quotePrefix="0" xfId="1"/>
    <xf numFmtId="43" fontId="0" fillId="0" borderId="0" pivotButton="0" quotePrefix="0" xfId="0"/>
    <xf numFmtId="43" fontId="0" fillId="0" borderId="0" applyAlignment="1" pivotButton="0" quotePrefix="0" xfId="1">
      <alignment horizontal="center" vertical="center"/>
    </xf>
    <xf numFmtId="0" fontId="0" fillId="0" borderId="13" pivotButton="0" quotePrefix="0" xfId="0"/>
    <xf numFmtId="43" fontId="0" fillId="0" borderId="1" applyAlignment="1" pivotButton="0" quotePrefix="0" xfId="1">
      <alignment horizontal="center" vertical="center"/>
    </xf>
    <xf numFmtId="43" fontId="0" fillId="0" borderId="3" applyAlignment="1" pivotButton="0" quotePrefix="0" xfId="1">
      <alignment horizontal="center" vertical="center"/>
    </xf>
    <xf numFmtId="43" fontId="0" fillId="0" borderId="1" pivotButton="0" quotePrefix="0" xfId="1"/>
    <xf numFmtId="43" fontId="6" fillId="2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2:M224"/>
  <sheetViews>
    <sheetView tabSelected="1" zoomScale="80" zoomScaleNormal="80" workbookViewId="0">
      <pane xSplit="3" ySplit="4" topLeftCell="I5" activePane="bottomRight" state="frozen"/>
      <selection pane="topRight" activeCell="D1" sqref="D1"/>
      <selection pane="bottomLeft" activeCell="A5" sqref="A5"/>
      <selection pane="bottomRight" activeCell="K3" sqref="K3:K4"/>
    </sheetView>
  </sheetViews>
  <sheetFormatPr baseColWidth="8" defaultRowHeight="14.5"/>
  <cols>
    <col width="10.26953125" customWidth="1" min="1" max="1"/>
    <col width="6.26953125" customWidth="1" min="2" max="2"/>
    <col width="48" bestFit="1" customWidth="1" min="3" max="3"/>
    <col width="11.26953125" customWidth="1" min="4" max="4"/>
    <col width="13.81640625" customWidth="1" min="5" max="5"/>
    <col width="13.81640625" customWidth="1" style="6" min="6" max="8"/>
    <col width="71.08984375" customWidth="1" min="9" max="9"/>
    <col width="48.54296875" customWidth="1" min="10" max="11"/>
    <col width="18.81640625" customWidth="1" min="12" max="12"/>
    <col width="24" bestFit="1" customWidth="1" min="13" max="13"/>
  </cols>
  <sheetData>
    <row r="2" ht="18.5" customHeight="1">
      <c r="B2" s="48" t="inlineStr">
        <is>
          <t>GUDANG NON BULOG FILIAL KANCAB INDRAMAYU TH 2026</t>
        </is>
      </c>
      <c r="C2" s="56" t="n"/>
      <c r="D2" s="56" t="n"/>
    </row>
    <row r="3" ht="15" customHeight="1">
      <c r="B3" s="47" t="inlineStr">
        <is>
          <t>NO</t>
        </is>
      </c>
      <c r="C3" s="47" t="inlineStr">
        <is>
          <t>NAMA GUDANG FILIAL</t>
        </is>
      </c>
      <c r="D3" s="45" t="inlineStr">
        <is>
          <t>LUAS M2</t>
        </is>
      </c>
      <c r="E3" s="57" t="inlineStr">
        <is>
          <t>KAPASITAS (TON)</t>
        </is>
      </c>
      <c r="F3" s="58" t="inlineStr">
        <is>
          <t>UKURAN</t>
        </is>
      </c>
      <c r="G3" s="59" t="n"/>
      <c r="H3" s="60" t="n"/>
      <c r="I3" s="47" t="inlineStr">
        <is>
          <t>LOKASI</t>
        </is>
      </c>
      <c r="J3" s="55" t="inlineStr">
        <is>
          <t>DESA</t>
        </is>
      </c>
      <c r="K3" s="47" t="inlineStr">
        <is>
          <t>KECAMATAN</t>
        </is>
      </c>
      <c r="L3" s="47" t="inlineStr">
        <is>
          <t>GUDANG INDUK</t>
        </is>
      </c>
      <c r="M3" s="61" t="inlineStr">
        <is>
          <t>STATUS PEMISAHAN</t>
        </is>
      </c>
    </row>
    <row r="4" ht="27.75" customHeight="1">
      <c r="B4" s="62" t="n"/>
      <c r="C4" s="62" t="n"/>
      <c r="D4" s="46" t="n"/>
      <c r="E4" s="62" t="n"/>
      <c r="F4" s="26" t="inlineStr">
        <is>
          <t>PANJANG (M)</t>
        </is>
      </c>
      <c r="G4" s="26" t="inlineStr">
        <is>
          <t>LEBAR (M)</t>
        </is>
      </c>
      <c r="H4" s="26" t="inlineStr">
        <is>
          <t>TINGGI (M)</t>
        </is>
      </c>
      <c r="I4" s="62" t="n"/>
      <c r="J4" s="62" t="n"/>
      <c r="K4" s="62" t="n"/>
      <c r="L4" s="62" t="n"/>
    </row>
    <row r="5" ht="15" customHeight="1">
      <c r="B5" s="10" t="n">
        <v>1</v>
      </c>
      <c r="C5" s="19" t="inlineStr">
        <is>
          <t>Fil H. Rasidi (Gd Tgg)</t>
        </is>
      </c>
      <c r="D5" s="10" t="n"/>
      <c r="E5" s="63" t="n">
        <v>3000</v>
      </c>
      <c r="F5" s="33" t="n">
        <v>47</v>
      </c>
      <c r="G5" s="33" t="n">
        <v>30</v>
      </c>
      <c r="H5" s="33" t="inlineStr">
        <is>
          <t>6,5</t>
        </is>
      </c>
      <c r="I5" s="19" t="inlineStr">
        <is>
          <t>Desa Tukdana Kec Tukdana Indramayu</t>
        </is>
      </c>
      <c r="J5" s="19" t="inlineStr">
        <is>
          <t>Tukdana</t>
        </is>
      </c>
      <c r="K5" s="19" t="inlineStr">
        <is>
          <t>Tukdana</t>
        </is>
      </c>
      <c r="L5" s="19" t="inlineStr">
        <is>
          <t>Tegalgirang</t>
        </is>
      </c>
      <c r="M5" t="inlineStr">
        <is>
          <t>Terbaca otomatis</t>
        </is>
      </c>
    </row>
    <row r="6" ht="15" customFormat="1" customHeight="1" s="9">
      <c r="B6" s="10">
        <f>+B5+1</f>
        <v/>
      </c>
      <c r="C6" s="19" t="inlineStr">
        <is>
          <t>Fil Cv Bakti Alam (Gd Cdp)</t>
        </is>
      </c>
      <c r="D6" s="10">
        <f>+F6*G6</f>
        <v/>
      </c>
      <c r="E6" s="63" t="n">
        <v>650</v>
      </c>
      <c r="F6" s="33" t="n">
        <v>35</v>
      </c>
      <c r="G6" s="33" t="n">
        <v>13</v>
      </c>
      <c r="H6" s="33" t="n">
        <v>8</v>
      </c>
      <c r="I6" s="19" t="inlineStr">
        <is>
          <t>Desa Bulak Lor Kec. Jatibarang Kab. Indramayu</t>
        </is>
      </c>
      <c r="J6" s="19" t="inlineStr">
        <is>
          <t>Bulak Lor</t>
        </is>
      </c>
      <c r="K6" s="19" t="inlineStr">
        <is>
          <t>Jatibarang</t>
        </is>
      </c>
      <c r="L6" s="19" t="inlineStr">
        <is>
          <t>Candangpinggan</t>
        </is>
      </c>
      <c r="M6" t="inlineStr">
        <is>
          <t>Terbaca otomatis</t>
        </is>
      </c>
    </row>
    <row r="7" ht="15" customFormat="1" customHeight="1" s="9">
      <c r="B7" s="10">
        <f>+B6+1</f>
        <v/>
      </c>
      <c r="C7" s="19" t="inlineStr">
        <is>
          <t>Fil Cv Daud Tiga Putra Jaya (Gd Sk1)</t>
        </is>
      </c>
      <c r="D7" s="10">
        <f>+F7*G7</f>
        <v/>
      </c>
      <c r="E7" s="63" t="n">
        <v>1000</v>
      </c>
      <c r="F7" s="33" t="n">
        <v>48</v>
      </c>
      <c r="G7" s="33" t="n">
        <v>9</v>
      </c>
      <c r="H7" s="33" t="n">
        <v>6</v>
      </c>
      <c r="I7" s="19" t="inlineStr">
        <is>
          <t>Desa Kedungwungu Kec Krangkeng Indramayu</t>
        </is>
      </c>
      <c r="J7" s="19" t="inlineStr">
        <is>
          <t>Kedungwungu</t>
        </is>
      </c>
      <c r="K7" s="19" t="inlineStr">
        <is>
          <t>Krangkeng</t>
        </is>
      </c>
      <c r="L7" s="19" t="inlineStr">
        <is>
          <t>Singakerta 1</t>
        </is>
      </c>
      <c r="M7" t="inlineStr">
        <is>
          <t>Terbaca otomatis</t>
        </is>
      </c>
    </row>
    <row r="8" ht="15" customHeight="1">
      <c r="B8" s="10">
        <f>+B7+1</f>
        <v/>
      </c>
      <c r="C8" s="19" t="inlineStr">
        <is>
          <t>Fil Cv Andi Mulya (Gd Sk1)</t>
        </is>
      </c>
      <c r="D8" s="10" t="n"/>
      <c r="E8" s="63" t="n">
        <v>400</v>
      </c>
      <c r="F8" s="33" t="inlineStr">
        <is>
          <t>29,7</t>
        </is>
      </c>
      <c r="G8" s="33" t="inlineStr">
        <is>
          <t>8,5</t>
        </is>
      </c>
      <c r="H8" s="33" t="n">
        <v>5</v>
      </c>
      <c r="I8" s="19" t="inlineStr">
        <is>
          <t xml:space="preserve">Desa Tempel Kulon Rt2 Rw1 Blok Sana Kec. Lelea </t>
        </is>
      </c>
      <c r="J8" s="19" t="inlineStr">
        <is>
          <t>Tempel Kulon</t>
        </is>
      </c>
      <c r="K8" s="19" t="inlineStr">
        <is>
          <t>Lelea</t>
        </is>
      </c>
      <c r="L8" s="19" t="inlineStr">
        <is>
          <t>Singakerta 1</t>
        </is>
      </c>
      <c r="M8" t="inlineStr">
        <is>
          <t>Terbaca otomatis</t>
        </is>
      </c>
    </row>
    <row r="9" ht="15" customHeight="1">
      <c r="B9" s="10">
        <f>+B8+1</f>
        <v/>
      </c>
      <c r="C9" s="19" t="inlineStr">
        <is>
          <t>Fil Pb Alam Jaya (Gd Kdw)</t>
        </is>
      </c>
      <c r="D9" s="10" t="n"/>
      <c r="E9" s="63" t="n">
        <v>450</v>
      </c>
      <c r="F9" s="33" t="n">
        <v>15</v>
      </c>
      <c r="G9" s="33" t="n">
        <v>12</v>
      </c>
      <c r="H9" s="33" t="n">
        <v>6</v>
      </c>
      <c r="I9" s="19" t="inlineStr">
        <is>
          <t>Kiara Payung Kec Anjatan Indramayu</t>
        </is>
      </c>
      <c r="J9" s="19" t="inlineStr">
        <is>
          <t>Kiara Payung</t>
        </is>
      </c>
      <c r="K9" s="19" t="inlineStr">
        <is>
          <t>Anjatan</t>
        </is>
      </c>
      <c r="L9" s="19" t="inlineStr">
        <is>
          <t>Kedungwungu</t>
        </is>
      </c>
      <c r="M9" t="inlineStr">
        <is>
          <t>Terbaca otomatis</t>
        </is>
      </c>
    </row>
    <row r="10" ht="15" customHeight="1">
      <c r="B10" s="10">
        <f>+B9+1</f>
        <v/>
      </c>
      <c r="C10" s="19" t="inlineStr">
        <is>
          <t>Fil Cv Dede Iting (Gd Sk2)</t>
        </is>
      </c>
      <c r="D10" s="10" t="n"/>
      <c r="E10" s="63" t="n">
        <v>500</v>
      </c>
      <c r="F10" s="33" t="n">
        <v>17</v>
      </c>
      <c r="G10" s="33" t="n">
        <v>15</v>
      </c>
      <c r="H10" s="33" t="n">
        <v>6</v>
      </c>
      <c r="I10" s="19" t="inlineStr">
        <is>
          <t>Desa Srengseng Kec. Krangkeng Kab. Indramayu</t>
        </is>
      </c>
      <c r="J10" s="19" t="inlineStr">
        <is>
          <t>Srengseng</t>
        </is>
      </c>
      <c r="K10" s="19" t="inlineStr">
        <is>
          <t>Krangkeng</t>
        </is>
      </c>
      <c r="L10" s="19" t="inlineStr">
        <is>
          <t>Singakerta 2</t>
        </is>
      </c>
      <c r="M10" t="inlineStr">
        <is>
          <t>Terbaca otomatis</t>
        </is>
      </c>
    </row>
    <row r="11" ht="15" customFormat="1" customHeight="1" s="9">
      <c r="B11" s="10">
        <f>+B10+1</f>
        <v/>
      </c>
      <c r="C11" s="19" t="inlineStr">
        <is>
          <t>Fil Pt Satu Arah Sukses (Gd Pkd)</t>
        </is>
      </c>
      <c r="D11" s="10">
        <f>+F11*G11</f>
        <v/>
      </c>
      <c r="E11" s="63" t="n">
        <v>1000</v>
      </c>
      <c r="F11" s="33" t="n">
        <v>30</v>
      </c>
      <c r="G11" s="33" t="n">
        <v>20</v>
      </c>
      <c r="H11" s="33" t="n">
        <v>8</v>
      </c>
      <c r="I11" s="64" t="inlineStr">
        <is>
          <t>Jl Pahlawan No 242 Lemahmekar Indramayu</t>
        </is>
      </c>
      <c r="J11" s="64" t="n"/>
      <c r="K11" s="64" t="n"/>
      <c r="L11" s="19" t="inlineStr">
        <is>
          <t>Pekandangan</t>
        </is>
      </c>
      <c r="M11" s="65" t="inlineStr">
        <is>
          <t>Perlu verifikasi</t>
        </is>
      </c>
    </row>
    <row r="12" ht="15" customFormat="1" customHeight="1" s="9">
      <c r="B12" s="10">
        <f>+B11+1</f>
        <v/>
      </c>
      <c r="C12" s="19" t="inlineStr">
        <is>
          <t>Fil Cv Jaya Persada Langgeng (Gd Lwg)</t>
        </is>
      </c>
      <c r="D12" s="10">
        <f>+F12*G12</f>
        <v/>
      </c>
      <c r="E12" s="63" t="n">
        <v>2000</v>
      </c>
      <c r="F12" s="33" t="n">
        <v>50</v>
      </c>
      <c r="G12" s="33" t="n">
        <v>17</v>
      </c>
      <c r="H12" s="33" t="n">
        <v>6</v>
      </c>
      <c r="I12" s="64" t="inlineStr">
        <is>
          <t>Jl Larangan Kec. Lohbener Kab. Indramayu</t>
        </is>
      </c>
      <c r="J12" s="64" t="n"/>
      <c r="K12" s="64" t="inlineStr">
        <is>
          <t>Lohbener</t>
        </is>
      </c>
      <c r="L12" s="19" t="inlineStr">
        <is>
          <t>Leuwigede</t>
        </is>
      </c>
      <c r="M12" s="65" t="inlineStr">
        <is>
          <t>Perlu verifikasi</t>
        </is>
      </c>
    </row>
    <row r="13" ht="15" customHeight="1">
      <c r="B13" s="10">
        <f>+B12+1</f>
        <v/>
      </c>
      <c r="C13" s="19" t="inlineStr">
        <is>
          <t>Fil Pt Syailendra Bagus Jaya (Gd Tgg)</t>
        </is>
      </c>
      <c r="D13" s="10" t="n"/>
      <c r="E13" s="63" t="n">
        <v>3000</v>
      </c>
      <c r="F13" s="33" t="n">
        <v>47</v>
      </c>
      <c r="G13" s="33" t="n">
        <v>30</v>
      </c>
      <c r="H13" s="33" t="inlineStr">
        <is>
          <t>6,5</t>
        </is>
      </c>
      <c r="I13" s="19" t="inlineStr">
        <is>
          <t>Desa Tukdana Kec. Tukdana Kab. Indramayu</t>
        </is>
      </c>
      <c r="J13" s="19" t="inlineStr">
        <is>
          <t>Tukdana</t>
        </is>
      </c>
      <c r="K13" s="19" t="inlineStr">
        <is>
          <t>Tukdana</t>
        </is>
      </c>
      <c r="L13" s="19" t="inlineStr">
        <is>
          <t>Tegalgirang</t>
        </is>
      </c>
      <c r="M13" t="inlineStr">
        <is>
          <t>Terbaca otomatis</t>
        </is>
      </c>
    </row>
    <row r="14" ht="15" customFormat="1" customHeight="1" s="9">
      <c r="B14" s="10">
        <f>+B13+1</f>
        <v/>
      </c>
      <c r="C14" s="19" t="inlineStr">
        <is>
          <t>Fil Cv Saldo Jaya (Gd Pkd)</t>
        </is>
      </c>
      <c r="D14" s="10">
        <f>+F14*G14</f>
        <v/>
      </c>
      <c r="E14" s="63" t="n">
        <v>2500</v>
      </c>
      <c r="F14" s="33" t="n">
        <v>50</v>
      </c>
      <c r="G14" s="33" t="n">
        <v>20</v>
      </c>
      <c r="H14" s="33" t="n">
        <v>8</v>
      </c>
      <c r="I14" s="64" t="inlineStr">
        <is>
          <t>Jl. Raya Bypass Kec. Widasari Kab. Indramayu</t>
        </is>
      </c>
      <c r="J14" s="64" t="n"/>
      <c r="K14" s="64" t="inlineStr">
        <is>
          <t>Widasari</t>
        </is>
      </c>
      <c r="L14" s="19" t="inlineStr">
        <is>
          <t>Pekandangan</t>
        </is>
      </c>
      <c r="M14" s="65" t="inlineStr">
        <is>
          <t>Perlu verifikasi</t>
        </is>
      </c>
    </row>
    <row r="15" ht="15" customFormat="1" customHeight="1" s="9">
      <c r="B15" s="10">
        <f>+B14+1</f>
        <v/>
      </c>
      <c r="C15" s="19" t="inlineStr">
        <is>
          <t>Fil Cv Campur Jaya (Gd Pkd)</t>
        </is>
      </c>
      <c r="D15" s="10">
        <f>+F15*G15</f>
        <v/>
      </c>
      <c r="E15" s="63" t="n">
        <v>1200</v>
      </c>
      <c r="F15" s="33" t="n">
        <v>39</v>
      </c>
      <c r="G15" s="33" t="n">
        <v>13</v>
      </c>
      <c r="H15" s="33" t="inlineStr">
        <is>
          <t>6,8</t>
        </is>
      </c>
      <c r="I15" s="19" t="inlineStr">
        <is>
          <t>Desa Rambatan Wetan Kec. Indramayu Kab. Indramayu</t>
        </is>
      </c>
      <c r="J15" s="19" t="inlineStr">
        <is>
          <t>Rambatan Wetan</t>
        </is>
      </c>
      <c r="K15" s="19" t="inlineStr">
        <is>
          <t>Indramayu</t>
        </is>
      </c>
      <c r="L15" s="19" t="inlineStr">
        <is>
          <t>Pekandangan</t>
        </is>
      </c>
      <c r="M15" t="inlineStr">
        <is>
          <t>Terbaca otomatis</t>
        </is>
      </c>
    </row>
    <row r="16" ht="15" customFormat="1" customHeight="1" s="9">
      <c r="B16" s="10">
        <f>+B15+1</f>
        <v/>
      </c>
      <c r="C16" s="19" t="inlineStr">
        <is>
          <t>Fil Berkah Impian Utama (Gd Sk2)</t>
        </is>
      </c>
      <c r="D16" s="10">
        <f>+F16*G16</f>
        <v/>
      </c>
      <c r="E16" s="63" t="n">
        <v>5000</v>
      </c>
      <c r="F16" s="33" t="n">
        <v>84</v>
      </c>
      <c r="G16" s="33" t="n">
        <v>73</v>
      </c>
      <c r="H16" s="33" t="n">
        <v>9</v>
      </c>
      <c r="I16" s="19" t="inlineStr">
        <is>
          <t>Desa Klayan Kec. Gunung Jati Kab. Cirebon</t>
        </is>
      </c>
      <c r="J16" s="19" t="inlineStr">
        <is>
          <t>Klayan</t>
        </is>
      </c>
      <c r="K16" s="19" t="inlineStr">
        <is>
          <t>Gunung Jati Kab. Cirebon</t>
        </is>
      </c>
      <c r="L16" s="19" t="inlineStr">
        <is>
          <t>Singakerta 2</t>
        </is>
      </c>
      <c r="M16" t="inlineStr">
        <is>
          <t>Terbaca otomatis</t>
        </is>
      </c>
    </row>
    <row r="17" ht="15" customHeight="1">
      <c r="B17" s="10">
        <f>+B16+1</f>
        <v/>
      </c>
      <c r="C17" s="19" t="inlineStr">
        <is>
          <t>Adi Saputra (Gd Sk2)</t>
        </is>
      </c>
      <c r="D17" s="10">
        <f>+F17*G17</f>
        <v/>
      </c>
      <c r="E17" s="63" t="n">
        <v>3200</v>
      </c>
      <c r="F17" s="33" t="n">
        <v>34</v>
      </c>
      <c r="G17" s="33" t="n">
        <v>52</v>
      </c>
      <c r="H17" s="33" t="n">
        <v>12</v>
      </c>
      <c r="I17" s="19" t="inlineStr">
        <is>
          <t>Desa Kedokanbunder Wetan Kec Kedokanbunder</t>
        </is>
      </c>
      <c r="J17" s="19" t="inlineStr">
        <is>
          <t>Kedokanbunder Wetan</t>
        </is>
      </c>
      <c r="K17" s="19" t="inlineStr">
        <is>
          <t>Kedokanbunder</t>
        </is>
      </c>
      <c r="L17" s="19" t="inlineStr">
        <is>
          <t>Singakerta 2</t>
        </is>
      </c>
      <c r="M17" t="inlineStr">
        <is>
          <t>Terbaca otomatis</t>
        </is>
      </c>
    </row>
    <row r="18" ht="15" customHeight="1">
      <c r="B18" s="10">
        <f>+B17+1</f>
        <v/>
      </c>
      <c r="C18" s="19" t="inlineStr">
        <is>
          <t>Fikri Miftaahul Zaman (Gd Tgg)</t>
        </is>
      </c>
      <c r="D18" s="10">
        <f>+F18*G18</f>
        <v/>
      </c>
      <c r="E18" s="63" t="n">
        <v>3000</v>
      </c>
      <c r="F18" s="33" t="n">
        <v>44</v>
      </c>
      <c r="G18" s="33" t="n">
        <v>22</v>
      </c>
      <c r="H18" s="33" t="n">
        <v>12</v>
      </c>
      <c r="I18" s="19" t="inlineStr">
        <is>
          <t>Desa Tempel Kulon Rt 1 Rw 1 Blok Sana Kecamatan Lelea</t>
        </is>
      </c>
      <c r="J18" s="19" t="inlineStr">
        <is>
          <t>Tempel Kulon</t>
        </is>
      </c>
      <c r="K18" s="19" t="inlineStr">
        <is>
          <t>Lelea</t>
        </is>
      </c>
      <c r="L18" s="19" t="inlineStr">
        <is>
          <t>Tegalgirang</t>
        </is>
      </c>
      <c r="M18" t="inlineStr">
        <is>
          <t>Terbaca otomatis</t>
        </is>
      </c>
    </row>
    <row r="19" ht="15" customHeight="1">
      <c r="B19" s="10">
        <f>+B18+1</f>
        <v/>
      </c>
      <c r="C19" s="19" t="inlineStr">
        <is>
          <t>Gudang Solehah (Gd Los)</t>
        </is>
      </c>
      <c r="D19" s="10">
        <f>+F19*G19</f>
        <v/>
      </c>
      <c r="E19" s="63" t="n">
        <v>7000</v>
      </c>
      <c r="F19" s="33" t="n">
        <v>102</v>
      </c>
      <c r="G19" s="33" t="n">
        <v>24</v>
      </c>
      <c r="H19" s="33" t="n">
        <v>8</v>
      </c>
      <c r="I19" s="19" t="inlineStr">
        <is>
          <t>Desa Wirapanjunan Blok Lembang Kecamatan Kandanghaur Kabupaten Indramayu</t>
        </is>
      </c>
      <c r="J19" s="19" t="inlineStr">
        <is>
          <t>Wirapanjunan</t>
        </is>
      </c>
      <c r="K19" s="19" t="inlineStr">
        <is>
          <t>Kandanghaur</t>
        </is>
      </c>
      <c r="L19" s="19" t="inlineStr">
        <is>
          <t>Losarang</t>
        </is>
      </c>
      <c r="M19" t="inlineStr">
        <is>
          <t>Terbaca otomatis</t>
        </is>
      </c>
    </row>
    <row r="20" ht="15" customHeight="1">
      <c r="B20" s="10">
        <f>+B19+1</f>
        <v/>
      </c>
      <c r="C20" s="19" t="inlineStr">
        <is>
          <t>Gudang Syahril Aditri (Gd Los)</t>
        </is>
      </c>
      <c r="D20" s="10">
        <f>+F20*G20</f>
        <v/>
      </c>
      <c r="E20" s="63" t="n">
        <v>3000</v>
      </c>
      <c r="F20" s="33" t="n">
        <v>30</v>
      </c>
      <c r="G20" s="33" t="n">
        <v>28</v>
      </c>
      <c r="H20" s="33" t="n">
        <v>8</v>
      </c>
      <c r="I20" s="19" t="inlineStr">
        <is>
          <t>Blok Rong Desa Sekarmulya Kecamatan Gabuswetan Kabupaten Indramayu</t>
        </is>
      </c>
      <c r="J20" s="19" t="inlineStr">
        <is>
          <t>Sekarmulya</t>
        </is>
      </c>
      <c r="K20" s="19" t="inlineStr">
        <is>
          <t>Gabuswetan</t>
        </is>
      </c>
      <c r="L20" s="19" t="inlineStr">
        <is>
          <t>Losarang</t>
        </is>
      </c>
      <c r="M20" t="inlineStr">
        <is>
          <t>Terbaca otomatis</t>
        </is>
      </c>
    </row>
    <row r="21" ht="15" customHeight="1">
      <c r="B21" s="10">
        <f>+B20+1</f>
        <v/>
      </c>
      <c r="C21" s="19" t="inlineStr">
        <is>
          <t>Gudang Thaci (Gd Los)</t>
        </is>
      </c>
      <c r="D21" s="10">
        <f>+F21*G21</f>
        <v/>
      </c>
      <c r="E21" s="63" t="n">
        <v>7500</v>
      </c>
      <c r="F21" s="33" t="n">
        <v>43</v>
      </c>
      <c r="G21" s="33" t="n">
        <v>65</v>
      </c>
      <c r="H21" s="33" t="n">
        <v>8</v>
      </c>
      <c r="I21" s="19" t="inlineStr">
        <is>
          <t>Desa Wirapanjunan Blok Kungkung Kecamatan Kandanghaur Kabupaten Indramayu</t>
        </is>
      </c>
      <c r="J21" s="19" t="inlineStr">
        <is>
          <t>Wirapanjunan</t>
        </is>
      </c>
      <c r="K21" s="19" t="inlineStr">
        <is>
          <t>Kandanghaur</t>
        </is>
      </c>
      <c r="L21" s="19" t="inlineStr">
        <is>
          <t>Losarang</t>
        </is>
      </c>
      <c r="M21" t="inlineStr">
        <is>
          <t>Terbaca otomatis</t>
        </is>
      </c>
    </row>
    <row r="22" ht="15" customHeight="1">
      <c r="B22" s="10">
        <f>+B21+1</f>
        <v/>
      </c>
      <c r="C22" s="19" t="inlineStr">
        <is>
          <t>Gudang Chindi Anggita Sari (Gd Kdw)</t>
        </is>
      </c>
      <c r="D22" s="10">
        <f>+F22*G22</f>
        <v/>
      </c>
      <c r="E22" s="63" t="n">
        <v>3000</v>
      </c>
      <c r="F22" s="33" t="n">
        <v>50</v>
      </c>
      <c r="G22" s="33" t="n">
        <v>17</v>
      </c>
      <c r="H22" s="33" t="n">
        <v>8</v>
      </c>
      <c r="I22" s="19" t="inlineStr">
        <is>
          <t>Desa Gembor Kecamatan Pagaden Kabupaten Subang</t>
        </is>
      </c>
      <c r="J22" s="19" t="inlineStr">
        <is>
          <t>Gembor</t>
        </is>
      </c>
      <c r="K22" s="19" t="inlineStr">
        <is>
          <t>Pagaden Kabupaten Subang</t>
        </is>
      </c>
      <c r="L22" s="19" t="inlineStr">
        <is>
          <t>Kedungwungu</t>
        </is>
      </c>
      <c r="M22" t="inlineStr">
        <is>
          <t>Terbaca otomatis</t>
        </is>
      </c>
    </row>
    <row r="23" ht="15" customHeight="1">
      <c r="B23" s="10">
        <f>+B22+1</f>
        <v/>
      </c>
      <c r="C23" s="19" t="inlineStr">
        <is>
          <t>Gudang Saepudin (Gd Kdw)</t>
        </is>
      </c>
      <c r="D23" s="10">
        <f>+F23*G23</f>
        <v/>
      </c>
      <c r="E23" s="63" t="n">
        <v>3000</v>
      </c>
      <c r="F23" s="33" t="n">
        <v>50</v>
      </c>
      <c r="G23" s="33" t="n">
        <v>20</v>
      </c>
      <c r="H23" s="33" t="n">
        <v>7</v>
      </c>
      <c r="I23" s="19" t="inlineStr">
        <is>
          <t>Desa Situraja Kec Gantar Kabupaten Indramayu</t>
        </is>
      </c>
      <c r="J23" s="19" t="inlineStr">
        <is>
          <t>Situraja</t>
        </is>
      </c>
      <c r="K23" s="19" t="inlineStr">
        <is>
          <t>Gantar</t>
        </is>
      </c>
      <c r="L23" s="19" t="inlineStr">
        <is>
          <t>Kedungwungu</t>
        </is>
      </c>
      <c r="M23" t="inlineStr">
        <is>
          <t>Terbaca otomatis</t>
        </is>
      </c>
    </row>
    <row r="24" ht="15" customHeight="1">
      <c r="B24" s="10">
        <f>+B23+1</f>
        <v/>
      </c>
      <c r="C24" s="20" t="inlineStr">
        <is>
          <t>Fil Pt Surya Jaya Dongkal (Gd Lwg)</t>
        </is>
      </c>
      <c r="D24" s="10" t="n"/>
      <c r="E24" s="63" t="n">
        <v>500</v>
      </c>
      <c r="F24" s="33" t="n">
        <v>30</v>
      </c>
      <c r="G24" s="33" t="n">
        <v>9</v>
      </c>
      <c r="H24" s="33" t="n">
        <v>7</v>
      </c>
      <c r="I24" s="64" t="inlineStr">
        <is>
          <t>Jl Bypass Kongsijaya - Indramayu</t>
        </is>
      </c>
      <c r="J24" s="64" t="n"/>
      <c r="K24" s="64" t="n"/>
      <c r="L24" s="19" t="inlineStr">
        <is>
          <t>Leuwigede</t>
        </is>
      </c>
      <c r="M24" s="65" t="inlineStr">
        <is>
          <t>Perlu verifikasi</t>
        </is>
      </c>
    </row>
    <row r="25" ht="15" customFormat="1" customHeight="1" s="9">
      <c r="B25" s="10">
        <f>+B24+1</f>
        <v/>
      </c>
      <c r="C25" s="19" t="inlineStr">
        <is>
          <t>Fil Cv Putra Karunia Utama 02 (Gd Tgg)</t>
        </is>
      </c>
      <c r="D25" s="10">
        <f>+F25*G25</f>
        <v/>
      </c>
      <c r="E25" s="63" t="n">
        <v>1800</v>
      </c>
      <c r="F25" s="33" t="n">
        <v>40</v>
      </c>
      <c r="G25" s="33" t="n">
        <v>17</v>
      </c>
      <c r="H25" s="33" t="n">
        <v>8</v>
      </c>
      <c r="I25" s="19" t="inlineStr">
        <is>
          <t>Desa Bangkaloa Ilir Kec Widasari Kab. Indramayu</t>
        </is>
      </c>
      <c r="J25" s="19" t="inlineStr">
        <is>
          <t>Bangkaloa Ilir</t>
        </is>
      </c>
      <c r="K25" s="19" t="inlineStr">
        <is>
          <t>Widasari</t>
        </is>
      </c>
      <c r="L25" s="19" t="inlineStr">
        <is>
          <t>Tegalgirang</t>
        </is>
      </c>
      <c r="M25" t="inlineStr">
        <is>
          <t>Terbaca otomatis</t>
        </is>
      </c>
    </row>
    <row r="26" ht="15" customFormat="1" customHeight="1" s="9">
      <c r="B26" s="10">
        <f>+B25+1</f>
        <v/>
      </c>
      <c r="C26" s="19" t="inlineStr">
        <is>
          <t>Fil Cv Putra Karunia Utama 03 (Gd Tgg)</t>
        </is>
      </c>
      <c r="D26" s="10">
        <f>+F26*G26</f>
        <v/>
      </c>
      <c r="E26" s="63" t="n">
        <v>4000</v>
      </c>
      <c r="F26" s="33" t="n">
        <v>72</v>
      </c>
      <c r="G26" s="33" t="n">
        <v>19</v>
      </c>
      <c r="H26" s="33" t="n">
        <v>8</v>
      </c>
      <c r="I26" s="19" t="inlineStr">
        <is>
          <t>Bangkaloa Ilir Kec Widasari Indramayu</t>
        </is>
      </c>
      <c r="J26" s="19" t="inlineStr">
        <is>
          <t>Bangkaloa Ilir</t>
        </is>
      </c>
      <c r="K26" s="19" t="inlineStr">
        <is>
          <t>Widasari</t>
        </is>
      </c>
      <c r="L26" s="19" t="inlineStr">
        <is>
          <t>Tegalgirang</t>
        </is>
      </c>
      <c r="M26" t="inlineStr">
        <is>
          <t>Terbaca otomatis</t>
        </is>
      </c>
    </row>
    <row r="27" ht="15" customHeight="1">
      <c r="B27" s="10">
        <f>+B26+1</f>
        <v/>
      </c>
      <c r="C27" s="19" t="inlineStr">
        <is>
          <t>Fil Cv Indo Padi Nusantara (Gd Lwg)</t>
        </is>
      </c>
      <c r="D27" s="10" t="n"/>
      <c r="E27" s="63" t="n">
        <v>3000</v>
      </c>
      <c r="F27" s="33" t="n">
        <v>54</v>
      </c>
      <c r="G27" s="33" t="n">
        <v>22</v>
      </c>
      <c r="H27" s="33" t="n">
        <v>6</v>
      </c>
      <c r="I27" s="64" t="inlineStr">
        <is>
          <t>Jl. Letnan Joni Kec. Jatibarang Kab. Indramayu</t>
        </is>
      </c>
      <c r="J27" s="64" t="n"/>
      <c r="K27" s="64" t="inlineStr">
        <is>
          <t>Jatibarang</t>
        </is>
      </c>
      <c r="L27" s="19" t="inlineStr">
        <is>
          <t>Leuwigede</t>
        </is>
      </c>
      <c r="M27" s="65" t="inlineStr">
        <is>
          <t>Perlu verifikasi</t>
        </is>
      </c>
    </row>
    <row r="28" ht="15" customHeight="1">
      <c r="B28" s="10">
        <f>+B27+1</f>
        <v/>
      </c>
      <c r="C28" s="19" t="inlineStr">
        <is>
          <t>Fil Cv Sumber Tani Sams (Gd Sk2)</t>
        </is>
      </c>
      <c r="D28" s="10" t="n"/>
      <c r="E28" s="63" t="n">
        <v>1000</v>
      </c>
      <c r="F28" s="21" t="n">
        <v>24</v>
      </c>
      <c r="G28" s="21" t="n">
        <v>14</v>
      </c>
      <c r="H28" s="21" t="n">
        <v>7</v>
      </c>
      <c r="I28" s="64" t="inlineStr">
        <is>
          <t>Jl Raya Kedaton Kab. Indramayu</t>
        </is>
      </c>
      <c r="J28" s="64" t="n"/>
      <c r="K28" s="64" t="n"/>
      <c r="L28" s="19" t="inlineStr">
        <is>
          <t>Singakerta 2</t>
        </is>
      </c>
      <c r="M28" s="65" t="inlineStr">
        <is>
          <t>Perlu verifikasi</t>
        </is>
      </c>
    </row>
    <row r="29" ht="15" customHeight="1">
      <c r="B29" s="10">
        <f>+B28+1</f>
        <v/>
      </c>
      <c r="C29" s="19" t="inlineStr">
        <is>
          <t>Fil Cv Dewa Padi (Gd Sk2)</t>
        </is>
      </c>
      <c r="D29" s="10" t="n"/>
      <c r="E29" s="63" t="n">
        <v>800</v>
      </c>
      <c r="F29" s="21" t="n">
        <v>27</v>
      </c>
      <c r="G29" s="21" t="n">
        <v>11</v>
      </c>
      <c r="H29" s="21" t="n">
        <v>6</v>
      </c>
      <c r="I29" s="64" t="inlineStr">
        <is>
          <t>Desa Kapringan Blok Pesantren Kab. Indramayu</t>
        </is>
      </c>
      <c r="J29" s="64" t="inlineStr">
        <is>
          <t>Kapringan</t>
        </is>
      </c>
      <c r="K29" s="64" t="n"/>
      <c r="L29" s="19" t="inlineStr">
        <is>
          <t>Singakerta 2</t>
        </is>
      </c>
      <c r="M29" s="65" t="inlineStr">
        <is>
          <t>Perlu verifikasi</t>
        </is>
      </c>
    </row>
    <row r="30" ht="15" customFormat="1" customHeight="1" s="9">
      <c r="B30" s="10">
        <f>+B29+1</f>
        <v/>
      </c>
      <c r="C30" s="19" t="inlineStr">
        <is>
          <t>Fil Cv Saldo Jaya 02 (Gd Pkd)</t>
        </is>
      </c>
      <c r="D30" s="10">
        <f>+F30*G30</f>
        <v/>
      </c>
      <c r="E30" s="63" t="n">
        <v>2000</v>
      </c>
      <c r="F30" s="21" t="n">
        <v>45</v>
      </c>
      <c r="G30" s="21" t="n">
        <v>22</v>
      </c>
      <c r="H30" s="21" t="n">
        <v>7</v>
      </c>
      <c r="I30" s="64" t="inlineStr">
        <is>
          <t>Jl. Raya Pantura Lama Kab. Indramayu</t>
        </is>
      </c>
      <c r="J30" s="64" t="n"/>
      <c r="K30" s="64" t="n"/>
      <c r="L30" s="19" t="inlineStr">
        <is>
          <t>Pekandangan</t>
        </is>
      </c>
      <c r="M30" s="65" t="inlineStr">
        <is>
          <t>Perlu verifikasi</t>
        </is>
      </c>
    </row>
    <row r="31" ht="15" customFormat="1" customHeight="1" s="9">
      <c r="B31" s="10">
        <f>+B30+1</f>
        <v/>
      </c>
      <c r="C31" s="19" t="inlineStr">
        <is>
          <t>Fil Pt Pangan Masa Depan (Gd Los)</t>
        </is>
      </c>
      <c r="D31" s="10">
        <f>+F31*G31</f>
        <v/>
      </c>
      <c r="E31" s="63" t="n">
        <v>2000</v>
      </c>
      <c r="F31" s="21" t="n">
        <v>40</v>
      </c>
      <c r="G31" s="21" t="n">
        <v>25</v>
      </c>
      <c r="H31" s="21" t="n">
        <v>6</v>
      </c>
      <c r="I31" s="64" t="inlineStr">
        <is>
          <t>Jl Raya Losarang Indramayu</t>
        </is>
      </c>
      <c r="J31" s="64" t="n"/>
      <c r="K31" s="64" t="n"/>
      <c r="L31" s="19" t="inlineStr">
        <is>
          <t>Losarang</t>
        </is>
      </c>
      <c r="M31" s="65" t="inlineStr">
        <is>
          <t>Perlu verifikasi</t>
        </is>
      </c>
    </row>
    <row r="32" ht="15" customHeight="1">
      <c r="B32" s="10">
        <f>+B31+1</f>
        <v/>
      </c>
      <c r="C32" s="19" t="inlineStr">
        <is>
          <t>Fil Cv Talita Adzilla (Gd Sk1)</t>
        </is>
      </c>
      <c r="D32" s="10" t="n"/>
      <c r="E32" s="63" t="n">
        <v>450</v>
      </c>
      <c r="F32" s="21" t="n">
        <v>22</v>
      </c>
      <c r="G32" s="21" t="n">
        <v>10</v>
      </c>
      <c r="H32" s="21" t="n">
        <v>6</v>
      </c>
      <c r="I32" s="19" t="inlineStr">
        <is>
          <t>Desa Kapringan Kec. Krangkeng Kab. Indramayu</t>
        </is>
      </c>
      <c r="J32" s="19" t="inlineStr">
        <is>
          <t>Kapringan</t>
        </is>
      </c>
      <c r="K32" s="19" t="inlineStr">
        <is>
          <t>Krangkeng</t>
        </is>
      </c>
      <c r="L32" s="19" t="inlineStr">
        <is>
          <t>Singakerta 1</t>
        </is>
      </c>
      <c r="M32" t="inlineStr">
        <is>
          <t>Terbaca otomatis</t>
        </is>
      </c>
    </row>
    <row r="33" ht="15" customFormat="1" customHeight="1" s="9">
      <c r="B33" s="10">
        <f>+B32+1</f>
        <v/>
      </c>
      <c r="C33" s="19" t="inlineStr">
        <is>
          <t>Fil Cv Aina Jaya Mandiri 01 (Gd Tgg)</t>
        </is>
      </c>
      <c r="D33" s="10" t="n"/>
      <c r="E33" s="63" t="n">
        <v>700</v>
      </c>
      <c r="F33" s="21" t="n">
        <v>64</v>
      </c>
      <c r="G33" s="21" t="n">
        <v>33</v>
      </c>
      <c r="H33" s="21" t="n">
        <v>7</v>
      </c>
      <c r="I33" s="19" t="inlineStr">
        <is>
          <t>Blok Tengah Desa Bunder Kec. Widasari Kab. Indramayu</t>
        </is>
      </c>
      <c r="J33" s="19" t="inlineStr">
        <is>
          <t>Bunder</t>
        </is>
      </c>
      <c r="K33" s="19" t="inlineStr">
        <is>
          <t>Widasari</t>
        </is>
      </c>
      <c r="L33" s="19" t="inlineStr">
        <is>
          <t>Tegalgirang</t>
        </is>
      </c>
      <c r="M33" t="inlineStr">
        <is>
          <t>Terbaca otomatis</t>
        </is>
      </c>
    </row>
    <row r="34" ht="15" customHeight="1">
      <c r="B34" s="10">
        <f>+B33+1</f>
        <v/>
      </c>
      <c r="C34" s="19" t="inlineStr">
        <is>
          <t>Fil Cv Mega Bintang Kurniawan (Gd Pkd)</t>
        </is>
      </c>
      <c r="D34" s="10" t="n"/>
      <c r="E34" s="63" t="n">
        <v>2000</v>
      </c>
      <c r="F34" s="21" t="n">
        <v>35</v>
      </c>
      <c r="G34" s="21" t="n">
        <v>15.5</v>
      </c>
      <c r="H34" s="21" t="n">
        <v>7</v>
      </c>
      <c r="I34" s="64" t="inlineStr">
        <is>
          <t>Jl. Semirang Plumbon Kec. Lohbener Kab. Indramayu</t>
        </is>
      </c>
      <c r="J34" s="64" t="n"/>
      <c r="K34" s="64" t="inlineStr">
        <is>
          <t>Lohbener</t>
        </is>
      </c>
      <c r="L34" s="19" t="inlineStr">
        <is>
          <t>Pekandangan</t>
        </is>
      </c>
      <c r="M34" s="65" t="inlineStr">
        <is>
          <t>Perlu verifikasi</t>
        </is>
      </c>
    </row>
    <row r="35" ht="15" customFormat="1" customHeight="1" s="9">
      <c r="B35" s="10">
        <f>+B34+1</f>
        <v/>
      </c>
      <c r="C35" s="19" t="inlineStr">
        <is>
          <t>Fil Cv Indo Padi Nusantara Balongan (Gd Pkd)</t>
        </is>
      </c>
      <c r="D35" s="10">
        <f>+F35*G35</f>
        <v/>
      </c>
      <c r="E35" s="63" t="n">
        <v>1500</v>
      </c>
      <c r="F35" s="21" t="n">
        <v>32</v>
      </c>
      <c r="G35" s="21" t="n">
        <v>20</v>
      </c>
      <c r="H35" s="21" t="n">
        <v>6</v>
      </c>
      <c r="I35" s="19" t="inlineStr">
        <is>
          <t>Balongan Kec. Karangmpel Kab. Indramayu</t>
        </is>
      </c>
      <c r="J35" s="19" t="inlineStr">
        <is>
          <t>Balongan</t>
        </is>
      </c>
      <c r="K35" s="19" t="inlineStr">
        <is>
          <t>Karangmpel</t>
        </is>
      </c>
      <c r="L35" s="19" t="inlineStr">
        <is>
          <t>Pekandangan</t>
        </is>
      </c>
      <c r="M35" t="inlineStr">
        <is>
          <t>Terbaca otomatis</t>
        </is>
      </c>
    </row>
    <row r="36" ht="15" customFormat="1" customHeight="1" s="9">
      <c r="A36" s="11" t="n"/>
      <c r="B36" s="10">
        <f>+B35+1</f>
        <v/>
      </c>
      <c r="C36" s="19" t="inlineStr">
        <is>
          <t>Fil Cv Bungsu Jaya Jagat (Gd Sk1)</t>
        </is>
      </c>
      <c r="D36" s="10" t="n"/>
      <c r="E36" s="63" t="n">
        <v>700</v>
      </c>
      <c r="F36" s="21" t="n">
        <v>20</v>
      </c>
      <c r="G36" s="21" t="n">
        <v>13</v>
      </c>
      <c r="H36" s="21" t="n">
        <v>6.5</v>
      </c>
      <c r="I36" s="64" t="inlineStr">
        <is>
          <t>Ds Dukuh Jati Krangkeng Indramayu</t>
        </is>
      </c>
      <c r="J36" s="64" t="n"/>
      <c r="K36" s="64" t="n"/>
      <c r="L36" s="19" t="inlineStr">
        <is>
          <t>Singakerta 1</t>
        </is>
      </c>
      <c r="M36" s="65" t="inlineStr">
        <is>
          <t>Perlu verifikasi</t>
        </is>
      </c>
    </row>
    <row r="37" ht="15" customFormat="1" customHeight="1" s="9">
      <c r="B37" s="10">
        <f>+B36+1</f>
        <v/>
      </c>
      <c r="C37" s="19" t="inlineStr">
        <is>
          <t>Gudang Agus Maqori (Sk1)</t>
        </is>
      </c>
      <c r="D37" s="10">
        <f>+F37*G37</f>
        <v/>
      </c>
      <c r="E37" s="63" t="n">
        <v>8000</v>
      </c>
      <c r="F37" s="33" t="n">
        <v>58</v>
      </c>
      <c r="G37" s="33" t="n">
        <v>42</v>
      </c>
      <c r="H37" s="33" t="n">
        <v>8</v>
      </c>
      <c r="I37" s="64" t="inlineStr">
        <is>
          <t>Blok Tegalasemaya Ds Singakerta Krangngkeng Indramayu</t>
        </is>
      </c>
      <c r="J37" s="64" t="n"/>
      <c r="K37" s="64" t="n"/>
      <c r="L37" s="19" t="inlineStr">
        <is>
          <t>Singakerta 1</t>
        </is>
      </c>
      <c r="M37" s="65" t="inlineStr">
        <is>
          <t>Perlu verifikasi</t>
        </is>
      </c>
    </row>
    <row r="38" ht="15" customFormat="1" customHeight="1" s="9">
      <c r="B38" s="10">
        <f>+B37+1</f>
        <v/>
      </c>
      <c r="C38" s="19" t="inlineStr">
        <is>
          <t>Gudang Innayatul Azkiyah (Gd Sk1)</t>
        </is>
      </c>
      <c r="D38" s="10">
        <f>+F38*G38</f>
        <v/>
      </c>
      <c r="E38" s="63" t="n">
        <v>5000</v>
      </c>
      <c r="F38" s="33" t="n">
        <v>53</v>
      </c>
      <c r="G38" s="33" t="n">
        <v>38</v>
      </c>
      <c r="H38" s="33" t="n">
        <v>7</v>
      </c>
      <c r="I38" s="64" t="inlineStr">
        <is>
          <t>Blok Kalder Ds Krangkeng Indramayu</t>
        </is>
      </c>
      <c r="J38" s="64" t="n"/>
      <c r="K38" s="64" t="n"/>
      <c r="L38" s="19" t="inlineStr">
        <is>
          <t>Singakerta 1</t>
        </is>
      </c>
      <c r="M38" s="65" t="inlineStr">
        <is>
          <t>Perlu verifikasi</t>
        </is>
      </c>
    </row>
    <row r="39" ht="15" customHeight="1">
      <c r="B39" s="10">
        <f>+B38+1</f>
        <v/>
      </c>
      <c r="C39" s="19" t="inlineStr">
        <is>
          <t>Gudang Awanto (Gd Cdp)</t>
        </is>
      </c>
      <c r="D39" s="10">
        <f>+F39*G39</f>
        <v/>
      </c>
      <c r="E39" s="63" t="n">
        <v>2500</v>
      </c>
      <c r="F39" s="33" t="n">
        <v>65</v>
      </c>
      <c r="G39" s="33" t="n">
        <v>20</v>
      </c>
      <c r="H39" s="33" t="n">
        <v>8</v>
      </c>
      <c r="I39" s="64" t="inlineStr">
        <is>
          <t>Jl Ds Sukagumiwang Kec Sukagumiwang Indramayu</t>
        </is>
      </c>
      <c r="J39" s="64" t="n"/>
      <c r="K39" s="64" t="inlineStr">
        <is>
          <t>Sukagumiwang</t>
        </is>
      </c>
      <c r="L39" s="19" t="inlineStr">
        <is>
          <t>Candangpinggan</t>
        </is>
      </c>
      <c r="M39" s="65" t="inlineStr">
        <is>
          <t>Perlu verifikasi</t>
        </is>
      </c>
    </row>
    <row r="40" ht="15" customFormat="1" customHeight="1" s="9">
      <c r="B40" s="10">
        <f>+B39+1</f>
        <v/>
      </c>
      <c r="C40" s="19" t="inlineStr">
        <is>
          <t>Fikri Miftaahul Zaman 2 (Gd Tgg)</t>
        </is>
      </c>
      <c r="D40" s="10">
        <f>+F40*G40</f>
        <v/>
      </c>
      <c r="E40" s="63" t="n">
        <v>3000</v>
      </c>
      <c r="F40" s="33" t="n">
        <v>46</v>
      </c>
      <c r="G40" s="33" t="n">
        <v>21</v>
      </c>
      <c r="H40" s="33" t="n">
        <v>12</v>
      </c>
      <c r="I40" s="19" t="inlineStr">
        <is>
          <t>Desa Tempel Kulon Rt 1 Rw 1 Blok Sana Kecamatan Lelea</t>
        </is>
      </c>
      <c r="J40" s="19" t="inlineStr">
        <is>
          <t>Tempel Kulon</t>
        </is>
      </c>
      <c r="K40" s="19" t="inlineStr">
        <is>
          <t>Lelea</t>
        </is>
      </c>
      <c r="L40" s="19" t="inlineStr">
        <is>
          <t>Tegalgirang</t>
        </is>
      </c>
      <c r="M40" t="inlineStr">
        <is>
          <t>Terbaca otomatis</t>
        </is>
      </c>
    </row>
    <row r="41" ht="15" customFormat="1" customHeight="1" s="9">
      <c r="B41" s="10">
        <f>+B40+1</f>
        <v/>
      </c>
      <c r="C41" s="19" t="inlineStr">
        <is>
          <t>Fil Pt Sriana Putri Group (Gd Cdp)</t>
        </is>
      </c>
      <c r="D41" s="23" t="n"/>
      <c r="E41" s="66" t="n">
        <v>4000</v>
      </c>
      <c r="F41" s="33" t="n">
        <v>48</v>
      </c>
      <c r="G41" s="33" t="n">
        <v>36</v>
      </c>
      <c r="H41" s="33" t="n">
        <v>8</v>
      </c>
      <c r="I41" s="64" t="inlineStr">
        <is>
          <t>Tambi Lor Sliyeg Indramayu</t>
        </is>
      </c>
      <c r="J41" s="64" t="n"/>
      <c r="K41" s="64" t="n"/>
      <c r="L41" s="19" t="inlineStr">
        <is>
          <t>Candangpinggan</t>
        </is>
      </c>
      <c r="M41" s="65" t="inlineStr">
        <is>
          <t>Perlu verifikasi</t>
        </is>
      </c>
    </row>
    <row r="42" ht="15" customFormat="1" customHeight="1" s="9">
      <c r="A42" s="11" t="n"/>
      <c r="B42" s="10">
        <f>+B41+1</f>
        <v/>
      </c>
      <c r="C42" s="19" t="inlineStr">
        <is>
          <t>Fil Cv Manisha Gula (Gd Los)</t>
        </is>
      </c>
      <c r="D42" s="23" t="n"/>
      <c r="E42" s="66" t="n">
        <v>1500</v>
      </c>
      <c r="F42" s="33" t="n">
        <v>42</v>
      </c>
      <c r="G42" s="33" t="n">
        <v>14</v>
      </c>
      <c r="H42" s="33" t="n">
        <v>7</v>
      </c>
      <c r="I42" s="64" t="inlineStr">
        <is>
          <t>Jl Karangsinom Gabus Wetan Indramayu</t>
        </is>
      </c>
      <c r="J42" s="64" t="n"/>
      <c r="K42" s="64" t="n"/>
      <c r="L42" s="19" t="inlineStr">
        <is>
          <t>Losarang</t>
        </is>
      </c>
      <c r="M42" s="65" t="inlineStr">
        <is>
          <t>Perlu verifikasi</t>
        </is>
      </c>
    </row>
    <row r="43" ht="15" customFormat="1" customHeight="1" s="9">
      <c r="B43" s="10">
        <f>+B42+1</f>
        <v/>
      </c>
      <c r="C43" s="19" t="inlineStr">
        <is>
          <t>Fil Pt Sri Manunggal Jaya 01 (Gd Pkd)</t>
        </is>
      </c>
      <c r="D43" s="23" t="n"/>
      <c r="E43" s="66" t="n">
        <v>1800</v>
      </c>
      <c r="F43" s="33" t="n">
        <v>24</v>
      </c>
      <c r="G43" s="33" t="n">
        <v>20</v>
      </c>
      <c r="H43" s="33" t="n">
        <v>6</v>
      </c>
      <c r="I43" s="64" t="inlineStr">
        <is>
          <t>Ds Majakerta Balongan Indramayu</t>
        </is>
      </c>
      <c r="J43" s="64" t="n"/>
      <c r="K43" s="64" t="n"/>
      <c r="L43" s="19" t="inlineStr">
        <is>
          <t>Pekandangan</t>
        </is>
      </c>
      <c r="M43" s="65" t="inlineStr">
        <is>
          <t>Perlu verifikasi</t>
        </is>
      </c>
    </row>
    <row r="44" ht="15" customFormat="1" customHeight="1" s="9">
      <c r="B44" s="10">
        <f>+B43+1</f>
        <v/>
      </c>
      <c r="C44" s="19" t="inlineStr">
        <is>
          <t>Fil Pt Sri Manunggal Jaya 02 (Gd Pkd)</t>
        </is>
      </c>
      <c r="D44" s="23" t="n"/>
      <c r="E44" s="66" t="n">
        <v>1500</v>
      </c>
      <c r="F44" s="33" t="n">
        <v>20</v>
      </c>
      <c r="G44" s="33" t="n">
        <v>15</v>
      </c>
      <c r="H44" s="33" t="n">
        <v>6</v>
      </c>
      <c r="I44" s="64" t="inlineStr">
        <is>
          <t>Ds Majakerta Balongan Indramayu</t>
        </is>
      </c>
      <c r="J44" s="64" t="n"/>
      <c r="K44" s="64" t="n"/>
      <c r="L44" s="19" t="inlineStr">
        <is>
          <t>Pekandangan</t>
        </is>
      </c>
      <c r="M44" s="65" t="inlineStr">
        <is>
          <t>Perlu verifikasi</t>
        </is>
      </c>
    </row>
    <row r="45" ht="15" customFormat="1" customHeight="1" s="9">
      <c r="B45" s="10">
        <f>+B44+1</f>
        <v/>
      </c>
      <c r="C45" s="19" t="inlineStr">
        <is>
          <t>Fil Cv Daud Tiga Putra Jaya 02 (Gd Sk1)</t>
        </is>
      </c>
      <c r="D45" s="23" t="n"/>
      <c r="E45" s="66" t="n">
        <v>700</v>
      </c>
      <c r="F45" s="33" t="n">
        <v>24</v>
      </c>
      <c r="G45" s="33" t="n">
        <v>8</v>
      </c>
      <c r="H45" s="33" t="n">
        <v>6</v>
      </c>
      <c r="I45" s="64" t="inlineStr">
        <is>
          <t>Ds Cemeti Kedokan Bunder Wetan Indramayu</t>
        </is>
      </c>
      <c r="J45" s="64" t="n"/>
      <c r="K45" s="64" t="n"/>
      <c r="L45" s="19" t="inlineStr">
        <is>
          <t>Singakerta 1</t>
        </is>
      </c>
      <c r="M45" s="65" t="inlineStr">
        <is>
          <t>Perlu verifikasi</t>
        </is>
      </c>
    </row>
    <row r="46" ht="15" customFormat="1" customHeight="1" s="9">
      <c r="B46" s="10">
        <f>+B45+1</f>
        <v/>
      </c>
      <c r="C46" s="19" t="inlineStr">
        <is>
          <t>Fil Cv Urip Berkah Jaya (Gd Kdw)</t>
        </is>
      </c>
      <c r="D46" s="23" t="n"/>
      <c r="E46" s="66" t="n">
        <v>1000</v>
      </c>
      <c r="F46" s="33" t="n">
        <v>36</v>
      </c>
      <c r="G46" s="33" t="n">
        <v>13</v>
      </c>
      <c r="H46" s="33" t="n">
        <v>7</v>
      </c>
      <c r="I46" s="64" t="inlineStr">
        <is>
          <t>Wirakanan Kandanghaur Indramayu</t>
        </is>
      </c>
      <c r="J46" s="64" t="n"/>
      <c r="K46" s="64" t="n"/>
      <c r="L46" s="19" t="inlineStr">
        <is>
          <t>Kedungwungu</t>
        </is>
      </c>
      <c r="M46" s="65" t="inlineStr">
        <is>
          <t>Perlu verifikasi</t>
        </is>
      </c>
    </row>
    <row r="47" ht="15" customFormat="1" customHeight="1" s="9">
      <c r="B47" s="10">
        <f>+B46+1</f>
        <v/>
      </c>
      <c r="C47" s="19" t="inlineStr">
        <is>
          <t>Fil Pt Padi Jaya Tukdana (Gd Cdp)</t>
        </is>
      </c>
      <c r="D47" s="23" t="n"/>
      <c r="E47" s="66">
        <f>+F47*G47</f>
        <v/>
      </c>
      <c r="F47" s="33" t="n">
        <v>36</v>
      </c>
      <c r="G47" s="33" t="n">
        <v>15</v>
      </c>
      <c r="H47" s="33" t="n">
        <v>7</v>
      </c>
      <c r="I47" s="64" t="inlineStr">
        <is>
          <t>Desa Kertasemaya Indramayu</t>
        </is>
      </c>
      <c r="J47" s="64" t="inlineStr">
        <is>
          <t>Kertasemaya Indramayu</t>
        </is>
      </c>
      <c r="K47" s="64" t="n"/>
      <c r="L47" s="19" t="inlineStr">
        <is>
          <t>Candangpinggan</t>
        </is>
      </c>
      <c r="M47" s="65" t="inlineStr">
        <is>
          <t>Perlu verifikasi</t>
        </is>
      </c>
    </row>
    <row r="48" ht="15" customFormat="1" customHeight="1" s="9">
      <c r="B48" s="10">
        <f>+B47+1</f>
        <v/>
      </c>
      <c r="C48" s="19" t="inlineStr">
        <is>
          <t>Fil Pt Anas Putra Tunggal (Gd Kdw)</t>
        </is>
      </c>
      <c r="D48" s="23" t="n"/>
      <c r="E48" s="66" t="n">
        <v>2800</v>
      </c>
      <c r="F48" s="33" t="n">
        <v>48</v>
      </c>
      <c r="G48" s="33" t="n">
        <v>22</v>
      </c>
      <c r="H48" s="33" t="n">
        <v>8</v>
      </c>
      <c r="I48" s="64" t="inlineStr">
        <is>
          <t>Kiarasari Comreng Subang</t>
        </is>
      </c>
      <c r="J48" s="64" t="n"/>
      <c r="K48" s="64" t="n"/>
      <c r="L48" s="19" t="inlineStr">
        <is>
          <t>Kedungwungu</t>
        </is>
      </c>
      <c r="M48" s="65" t="inlineStr">
        <is>
          <t>Perlu verifikasi</t>
        </is>
      </c>
    </row>
    <row r="49" ht="15" customFormat="1" customHeight="1" s="9">
      <c r="B49" s="10">
        <f>+B48+1</f>
        <v/>
      </c>
      <c r="C49" s="19" t="inlineStr">
        <is>
          <t>Fil Cv Ipik Sumber Jaya (Gd Kdw)</t>
        </is>
      </c>
      <c r="D49" s="23" t="n"/>
      <c r="E49" s="66" t="n">
        <v>1500</v>
      </c>
      <c r="F49" s="33" t="n">
        <v>30</v>
      </c>
      <c r="G49" s="33" t="n">
        <v>23</v>
      </c>
      <c r="H49" s="33" t="n">
        <v>8</v>
      </c>
      <c r="I49" s="64" t="inlineStr">
        <is>
          <t>Blok K8 Ds Kedungjaya Gabuswetan Indramayu</t>
        </is>
      </c>
      <c r="J49" s="64" t="n"/>
      <c r="K49" s="64" t="n"/>
      <c r="L49" s="19" t="inlineStr">
        <is>
          <t>Kedungwungu</t>
        </is>
      </c>
      <c r="M49" s="65" t="inlineStr">
        <is>
          <t>Perlu verifikasi</t>
        </is>
      </c>
    </row>
    <row r="50" ht="15" customFormat="1" customHeight="1" s="9">
      <c r="B50" s="10">
        <f>+B49+1</f>
        <v/>
      </c>
      <c r="C50" s="19" t="inlineStr">
        <is>
          <t>Fil Cv Dunia Tani Mandiri (Gd Kdw)</t>
        </is>
      </c>
      <c r="D50" s="23" t="n"/>
      <c r="E50" s="66" t="n">
        <v>1000</v>
      </c>
      <c r="F50" s="33" t="n">
        <v>30</v>
      </c>
      <c r="G50" s="33" t="n">
        <v>20</v>
      </c>
      <c r="H50" s="33" t="n">
        <v>7</v>
      </c>
      <c r="I50" s="64" t="inlineStr">
        <is>
          <t>Desa Cipedang Blok Kanam Indramayu</t>
        </is>
      </c>
      <c r="J50" s="64" t="inlineStr">
        <is>
          <t>Cipedang</t>
        </is>
      </c>
      <c r="K50" s="64" t="n"/>
      <c r="L50" s="19" t="inlineStr">
        <is>
          <t>Kedungwungu</t>
        </is>
      </c>
      <c r="M50" s="65" t="inlineStr">
        <is>
          <t>Perlu verifikasi</t>
        </is>
      </c>
    </row>
    <row r="51" ht="15" customFormat="1" customHeight="1" s="9">
      <c r="B51" s="10">
        <f>+B50+1</f>
        <v/>
      </c>
      <c r="C51" s="19" t="inlineStr">
        <is>
          <t>Fil Pt Surya Jaya Dongkal 2 (Gd Lwg)</t>
        </is>
      </c>
      <c r="D51" s="23" t="n"/>
      <c r="E51" s="66" t="n">
        <v>1500</v>
      </c>
      <c r="F51" s="33" t="n">
        <v>40</v>
      </c>
      <c r="G51" s="33" t="n">
        <v>20</v>
      </c>
      <c r="H51" s="33" t="n">
        <v>7</v>
      </c>
      <c r="I51" s="64" t="inlineStr">
        <is>
          <t>Blok Purbaya Ds Kongsijaya Widasari Indramayu</t>
        </is>
      </c>
      <c r="J51" s="64" t="n"/>
      <c r="K51" s="64" t="n"/>
      <c r="L51" s="19" t="inlineStr">
        <is>
          <t>Leuwigede</t>
        </is>
      </c>
      <c r="M51" s="65" t="inlineStr">
        <is>
          <t>Perlu verifikasi</t>
        </is>
      </c>
    </row>
    <row r="52" ht="15" customFormat="1" customHeight="1" s="9">
      <c r="B52" s="10">
        <f>+B51+1</f>
        <v/>
      </c>
      <c r="C52" s="19" t="inlineStr">
        <is>
          <t>Fil Cv Heru Nur Jaya (Gd Sk1)</t>
        </is>
      </c>
      <c r="D52" s="23" t="n"/>
      <c r="E52" s="66" t="n">
        <v>2000</v>
      </c>
      <c r="F52" s="33" t="n">
        <v>41</v>
      </c>
      <c r="G52" s="33" t="n">
        <v>15</v>
      </c>
      <c r="H52" s="33" t="n">
        <v>6.5</v>
      </c>
      <c r="I52" s="19" t="inlineStr">
        <is>
          <t>Ds Srengseng Kec Krangkeng Indramayu</t>
        </is>
      </c>
      <c r="J52" s="19" t="inlineStr">
        <is>
          <t>Ds Srengseng</t>
        </is>
      </c>
      <c r="K52" s="19" t="inlineStr">
        <is>
          <t>Krangkeng</t>
        </is>
      </c>
      <c r="L52" s="19" t="inlineStr">
        <is>
          <t>Singakerta 1</t>
        </is>
      </c>
      <c r="M52" t="inlineStr">
        <is>
          <t>Terbaca otomatis</t>
        </is>
      </c>
    </row>
    <row r="53" ht="15" customFormat="1" customHeight="1" s="9">
      <c r="B53" s="10">
        <f>+B52+1</f>
        <v/>
      </c>
      <c r="C53" s="19" t="inlineStr">
        <is>
          <t>Fil Pt Pangan Masa Depan 02 (Gd Los)</t>
        </is>
      </c>
      <c r="D53" s="23" t="n"/>
      <c r="E53" s="66" t="n">
        <v>1000</v>
      </c>
      <c r="F53" s="33" t="n">
        <v>21</v>
      </c>
      <c r="G53" s="33" t="n">
        <v>20</v>
      </c>
      <c r="H53" s="33" t="n">
        <v>6</v>
      </c>
      <c r="I53" s="64" t="inlineStr">
        <is>
          <t>Jl Pu Karangsinom Kandanghaur Indramayu</t>
        </is>
      </c>
      <c r="J53" s="64" t="n"/>
      <c r="K53" s="64" t="n"/>
      <c r="L53" s="19" t="inlineStr">
        <is>
          <t>Losarang</t>
        </is>
      </c>
      <c r="M53" s="65" t="inlineStr">
        <is>
          <t>Perlu verifikasi</t>
        </is>
      </c>
    </row>
    <row r="54" ht="15" customFormat="1" customHeight="1" s="9">
      <c r="B54" s="10">
        <f>+B53+1</f>
        <v/>
      </c>
      <c r="C54" s="19" t="inlineStr">
        <is>
          <t>Fil Cv Daud Tiga Putra Jaya 03 (Gd Sk1)</t>
        </is>
      </c>
      <c r="D54" s="23" t="n"/>
      <c r="E54" s="66" t="n">
        <v>2000</v>
      </c>
      <c r="F54" s="33" t="n">
        <v>42</v>
      </c>
      <c r="G54" s="33" t="n">
        <v>18</v>
      </c>
      <c r="H54" s="33" t="n">
        <v>6.7</v>
      </c>
      <c r="I54" s="19" t="inlineStr">
        <is>
          <t>Ds Bulak Kec Jatibarang Indramayu</t>
        </is>
      </c>
      <c r="J54" s="19" t="inlineStr">
        <is>
          <t>Ds Bulak</t>
        </is>
      </c>
      <c r="K54" s="19" t="inlineStr">
        <is>
          <t>Jatibarang</t>
        </is>
      </c>
      <c r="L54" s="19" t="inlineStr">
        <is>
          <t>Singakerta 1</t>
        </is>
      </c>
      <c r="M54" t="inlineStr">
        <is>
          <t>Terbaca otomatis</t>
        </is>
      </c>
    </row>
    <row r="55" ht="15" customFormat="1" customHeight="1" s="9">
      <c r="B55" s="10">
        <f>+B54+1</f>
        <v/>
      </c>
      <c r="C55" s="19" t="inlineStr">
        <is>
          <t>Fil Pt Tegar Arum Aini (Gd Sk1)</t>
        </is>
      </c>
      <c r="D55" s="23" t="n"/>
      <c r="E55" s="66" t="n">
        <v>3000</v>
      </c>
      <c r="F55" s="33" t="n">
        <v>42</v>
      </c>
      <c r="G55" s="33" t="n">
        <v>15</v>
      </c>
      <c r="H55" s="33" t="n">
        <v>7</v>
      </c>
      <c r="I55" s="19" t="inlineStr">
        <is>
          <t>Ds Kapringan Kec Krangkeng Indramayu</t>
        </is>
      </c>
      <c r="J55" s="19" t="inlineStr">
        <is>
          <t>Ds Kapringan</t>
        </is>
      </c>
      <c r="K55" s="19" t="inlineStr">
        <is>
          <t>Krangkeng</t>
        </is>
      </c>
      <c r="L55" s="19" t="inlineStr">
        <is>
          <t>Singakerta 1</t>
        </is>
      </c>
      <c r="M55" t="inlineStr">
        <is>
          <t>Terbaca otomatis</t>
        </is>
      </c>
    </row>
    <row r="56" ht="15" customFormat="1" customHeight="1" s="9">
      <c r="B56" s="10">
        <f>+B55+1</f>
        <v/>
      </c>
      <c r="C56" s="19" t="inlineStr">
        <is>
          <t>Fil Cv Putra Muncul (Gd Los)</t>
        </is>
      </c>
      <c r="D56" s="23" t="n"/>
      <c r="E56" s="66" t="n">
        <v>1500</v>
      </c>
      <c r="F56" s="33" t="n">
        <v>29</v>
      </c>
      <c r="G56" s="33" t="n">
        <v>18</v>
      </c>
      <c r="H56" s="33" t="n">
        <v>8</v>
      </c>
      <c r="I56" s="64" t="inlineStr">
        <is>
          <t>Ds Wirakan Kandanghaur Indramayu</t>
        </is>
      </c>
      <c r="J56" s="64" t="n"/>
      <c r="K56" s="64" t="n"/>
      <c r="L56" s="19" t="inlineStr">
        <is>
          <t>Losarang</t>
        </is>
      </c>
      <c r="M56" s="65" t="inlineStr">
        <is>
          <t>Perlu verifikasi</t>
        </is>
      </c>
    </row>
    <row r="57" ht="15" customFormat="1" customHeight="1" s="9">
      <c r="B57" s="10">
        <f>+B56+1</f>
        <v/>
      </c>
      <c r="C57" s="19" t="inlineStr">
        <is>
          <t>Fil Pt Tawakal Maju Bersama (Gd Sk2)</t>
        </is>
      </c>
      <c r="D57" s="23" t="n"/>
      <c r="E57" s="66" t="n">
        <v>2500</v>
      </c>
      <c r="F57" s="33" t="n">
        <v>35</v>
      </c>
      <c r="G57" s="33" t="n">
        <v>17</v>
      </c>
      <c r="H57" s="33" t="n">
        <v>7</v>
      </c>
      <c r="I57" s="64" t="inlineStr">
        <is>
          <t>Blok Kandangeling Krangkeng Indramayu</t>
        </is>
      </c>
      <c r="J57" s="64" t="n"/>
      <c r="K57" s="64" t="n"/>
      <c r="L57" s="19" t="inlineStr">
        <is>
          <t>Singakerta 2</t>
        </is>
      </c>
      <c r="M57" s="65" t="inlineStr">
        <is>
          <t>Perlu verifikasi</t>
        </is>
      </c>
    </row>
    <row r="58" ht="15" customFormat="1" customHeight="1" s="9">
      <c r="B58" s="10">
        <f>+B57+1</f>
        <v/>
      </c>
      <c r="C58" s="19" t="inlineStr">
        <is>
          <t>Fil Pt Putra Digjaya Sejahtera (Gd Sk1)</t>
        </is>
      </c>
      <c r="D58" s="23" t="n"/>
      <c r="E58" s="66" t="n">
        <v>900</v>
      </c>
      <c r="F58" s="33" t="n">
        <v>26</v>
      </c>
      <c r="G58" s="33" t="n">
        <v>18</v>
      </c>
      <c r="H58" s="33" t="n">
        <v>6</v>
      </c>
      <c r="I58" s="64" t="inlineStr">
        <is>
          <t>Rt 7 Rw 2 Kapetakan Cirebon</t>
        </is>
      </c>
      <c r="J58" s="64" t="n"/>
      <c r="K58" s="64" t="n"/>
      <c r="L58" s="19" t="inlineStr">
        <is>
          <t>Singakerta 1</t>
        </is>
      </c>
      <c r="M58" s="65" t="inlineStr">
        <is>
          <t>Perlu verifikasi</t>
        </is>
      </c>
    </row>
    <row r="59" ht="15" customFormat="1" customHeight="1" s="9">
      <c r="B59" s="10">
        <f>+B58+1</f>
        <v/>
      </c>
      <c r="C59" s="19" t="inlineStr">
        <is>
          <t>Fil Pt Pb Cahaya Sri Padi (Gd Cdp)</t>
        </is>
      </c>
      <c r="D59" s="23" t="n"/>
      <c r="E59" s="66" t="n">
        <v>500</v>
      </c>
      <c r="F59" s="33" t="n">
        <v>30</v>
      </c>
      <c r="G59" s="33" t="n">
        <v>10</v>
      </c>
      <c r="H59" s="33" t="n">
        <v>6</v>
      </c>
      <c r="I59" s="64" t="inlineStr">
        <is>
          <t>Blok Palem Ds Lemahayu Kec Kertasemaya Indramayu</t>
        </is>
      </c>
      <c r="J59" s="64" t="n"/>
      <c r="K59" s="64" t="inlineStr">
        <is>
          <t>Kertasemaya</t>
        </is>
      </c>
      <c r="L59" s="19" t="inlineStr">
        <is>
          <t>Candangpinggan</t>
        </is>
      </c>
      <c r="M59" s="65" t="inlineStr">
        <is>
          <t>Perlu verifikasi</t>
        </is>
      </c>
    </row>
    <row r="60" ht="15" customFormat="1" customHeight="1" s="9">
      <c r="B60" s="10">
        <f>+B59+1</f>
        <v/>
      </c>
      <c r="C60" s="19" t="inlineStr">
        <is>
          <t>Fil Cv Nuji Dasminah Jaya (Gd Kdw)</t>
        </is>
      </c>
      <c r="D60" s="23" t="n"/>
      <c r="E60" s="66" t="n">
        <v>1500</v>
      </c>
      <c r="F60" s="33" t="n">
        <v>29</v>
      </c>
      <c r="G60" s="33" t="n">
        <v>15</v>
      </c>
      <c r="H60" s="33" t="n">
        <v>7</v>
      </c>
      <c r="I60" s="64" t="inlineStr">
        <is>
          <t>Jl Haurgeulis Gantar Indramayu</t>
        </is>
      </c>
      <c r="J60" s="64" t="n"/>
      <c r="K60" s="64" t="n"/>
      <c r="L60" s="19" t="inlineStr">
        <is>
          <t>Kedungwungu</t>
        </is>
      </c>
      <c r="M60" s="65" t="inlineStr">
        <is>
          <t>Perlu verifikasi</t>
        </is>
      </c>
    </row>
    <row r="61" ht="15" customFormat="1" customHeight="1" s="9">
      <c r="B61" s="10">
        <f>+B60+1</f>
        <v/>
      </c>
      <c r="C61" s="19" t="inlineStr">
        <is>
          <t>Fil Pt Tunas Mulya Group (Gd Pkd)</t>
        </is>
      </c>
      <c r="D61" s="23" t="n"/>
      <c r="E61" s="66" t="n">
        <v>1500</v>
      </c>
      <c r="F61" s="33" t="n">
        <v>52</v>
      </c>
      <c r="G61" s="33" t="n">
        <v>14</v>
      </c>
      <c r="H61" s="33" t="n">
        <v>7</v>
      </c>
      <c r="I61" s="19" t="inlineStr">
        <is>
          <t>Desa Limpangan Kec Juntinyuat Indramayu</t>
        </is>
      </c>
      <c r="J61" s="19" t="inlineStr">
        <is>
          <t>Limpangan</t>
        </is>
      </c>
      <c r="K61" s="19" t="inlineStr">
        <is>
          <t>Juntinyuat</t>
        </is>
      </c>
      <c r="L61" s="19" t="inlineStr">
        <is>
          <t>Pekandangan</t>
        </is>
      </c>
      <c r="M61" t="inlineStr">
        <is>
          <t>Terbaca otomatis</t>
        </is>
      </c>
    </row>
    <row r="62" ht="15" customFormat="1" customHeight="1" s="9">
      <c r="B62" s="10">
        <f>+B61+1</f>
        <v/>
      </c>
      <c r="C62" s="19" t="inlineStr">
        <is>
          <t>Fil Pt Sriana Putra Group (Gd Cdp)</t>
        </is>
      </c>
      <c r="D62" s="23" t="n"/>
      <c r="E62" s="66" t="n">
        <v>700</v>
      </c>
      <c r="F62" s="33" t="n">
        <v>30</v>
      </c>
      <c r="G62" s="33" t="n">
        <v>8.800000000000001</v>
      </c>
      <c r="H62" s="33" t="n">
        <v>6</v>
      </c>
      <c r="I62" s="64" t="inlineStr">
        <is>
          <t>Blok Sana Ni 11A Ds Bulak Jatibarang Indramayu</t>
        </is>
      </c>
      <c r="J62" s="64" t="n"/>
      <c r="K62" s="64" t="n"/>
      <c r="L62" s="19" t="inlineStr">
        <is>
          <t>Candangpinggan</t>
        </is>
      </c>
      <c r="M62" s="65" t="inlineStr">
        <is>
          <t>Perlu verifikasi</t>
        </is>
      </c>
    </row>
    <row r="63" ht="15" customFormat="1" customHeight="1" s="9">
      <c r="B63" s="10">
        <f>+B62+1</f>
        <v/>
      </c>
      <c r="C63" s="19" t="inlineStr">
        <is>
          <t>Fil Cv Heru Nur Jaya (Gd Lwg)</t>
        </is>
      </c>
      <c r="D63" s="23" t="n"/>
      <c r="E63" s="66" t="n">
        <v>1500</v>
      </c>
      <c r="F63" s="33" t="n">
        <v>36</v>
      </c>
      <c r="G63" s="33" t="n">
        <v>12</v>
      </c>
      <c r="H63" s="33" t="n">
        <v>6</v>
      </c>
      <c r="I63" s="64" t="inlineStr">
        <is>
          <t>Jl Perindustrian Kenanga Kec Sindang Indramayu</t>
        </is>
      </c>
      <c r="J63" s="64" t="n"/>
      <c r="K63" s="64" t="inlineStr">
        <is>
          <t>Sindang</t>
        </is>
      </c>
      <c r="L63" s="19" t="inlineStr">
        <is>
          <t>Leuwigede</t>
        </is>
      </c>
      <c r="M63" s="65" t="inlineStr">
        <is>
          <t>Perlu verifikasi</t>
        </is>
      </c>
    </row>
    <row r="64" ht="15" customHeight="1">
      <c r="B64" s="10">
        <f>+B63+1</f>
        <v/>
      </c>
      <c r="C64" s="20" t="inlineStr">
        <is>
          <t>Fil Pt Sri Kencana Putra (Gd Cdp)</t>
        </is>
      </c>
      <c r="D64" s="23" t="n"/>
      <c r="E64" s="66" t="n">
        <v>700</v>
      </c>
      <c r="F64" s="33" t="n">
        <v>19</v>
      </c>
      <c r="G64" s="33" t="n">
        <v>15</v>
      </c>
      <c r="H64" s="33" t="n">
        <v>7</v>
      </c>
      <c r="I64" s="64" t="inlineStr">
        <is>
          <t>Ds Wanakajir Susukan Cirebon</t>
        </is>
      </c>
      <c r="J64" s="64" t="n"/>
      <c r="K64" s="64" t="n"/>
      <c r="L64" s="19" t="inlineStr">
        <is>
          <t>Candangpinggan</t>
        </is>
      </c>
      <c r="M64" s="65" t="inlineStr">
        <is>
          <t>Perlu verifikasi</t>
        </is>
      </c>
    </row>
    <row r="65" ht="15" customHeight="1">
      <c r="B65" s="10">
        <f>+B64+1</f>
        <v/>
      </c>
      <c r="C65" s="19" t="inlineStr">
        <is>
          <t>Fil Cv Aina Jaya Mandiri 02 (Gd Tgg)</t>
        </is>
      </c>
      <c r="D65" s="23" t="n"/>
      <c r="E65" s="66" t="n">
        <v>1200</v>
      </c>
      <c r="F65" s="33" t="n">
        <v>25</v>
      </c>
      <c r="G65" s="33" t="n">
        <v>18</v>
      </c>
      <c r="H65" s="33" t="n">
        <v>7</v>
      </c>
      <c r="I65" s="64" t="inlineStr">
        <is>
          <t>Jl Mayor Dasuki Jtbarang Indramayu</t>
        </is>
      </c>
      <c r="J65" s="64" t="n"/>
      <c r="K65" s="64" t="n"/>
      <c r="L65" s="19" t="inlineStr">
        <is>
          <t>Tegalgirang</t>
        </is>
      </c>
      <c r="M65" s="65" t="inlineStr">
        <is>
          <t>Perlu verifikasi</t>
        </is>
      </c>
    </row>
    <row r="66" ht="15" customHeight="1">
      <c r="B66" s="10">
        <f>+B65+1</f>
        <v/>
      </c>
      <c r="C66" s="19" t="inlineStr">
        <is>
          <t>Fil Pt Yhara Sukses Sejahtera (Gd Cdp)</t>
        </is>
      </c>
      <c r="D66" s="23" t="n"/>
      <c r="E66" s="66" t="n">
        <v>500</v>
      </c>
      <c r="F66" s="33" t="n">
        <v>18</v>
      </c>
      <c r="G66" s="33" t="n">
        <v>10</v>
      </c>
      <c r="H66" s="33" t="n">
        <v>7</v>
      </c>
      <c r="I66" s="19" t="inlineStr">
        <is>
          <t>Desa Sukaperna Kec Tukdana Indramayu</t>
        </is>
      </c>
      <c r="J66" s="19" t="inlineStr">
        <is>
          <t>Sukaperna</t>
        </is>
      </c>
      <c r="K66" s="19" t="inlineStr">
        <is>
          <t>Tukdana</t>
        </is>
      </c>
      <c r="L66" s="19" t="inlineStr">
        <is>
          <t>Candangpinggan</t>
        </is>
      </c>
      <c r="M66" t="inlineStr">
        <is>
          <t>Terbaca otomatis</t>
        </is>
      </c>
    </row>
    <row r="67" ht="15" customHeight="1">
      <c r="B67" s="10">
        <f>+B66+1</f>
        <v/>
      </c>
      <c r="C67" s="19" t="inlineStr">
        <is>
          <t>Fil Pt Generasi Sriana Putra (Gd Cdp)</t>
        </is>
      </c>
      <c r="D67" s="23" t="n"/>
      <c r="E67" s="66" t="n">
        <v>1000</v>
      </c>
      <c r="F67" s="33" t="n">
        <v>22</v>
      </c>
      <c r="G67" s="33" t="n">
        <v>30</v>
      </c>
      <c r="H67" s="33" t="n">
        <v>7</v>
      </c>
      <c r="I67" s="64" t="inlineStr">
        <is>
          <t>Desa Bulak Lor Jtbarang Indramayu</t>
        </is>
      </c>
      <c r="J67" s="64" t="inlineStr">
        <is>
          <t>Bulak Lor Jtbarang Indramayu</t>
        </is>
      </c>
      <c r="K67" s="64" t="n"/>
      <c r="L67" s="19" t="inlineStr">
        <is>
          <t>Candangpinggan</t>
        </is>
      </c>
      <c r="M67" s="65" t="inlineStr">
        <is>
          <t>Perlu verifikasi</t>
        </is>
      </c>
    </row>
    <row r="68" ht="15" customHeight="1">
      <c r="B68" s="10">
        <f>+B67+1</f>
        <v/>
      </c>
      <c r="C68" s="19" t="inlineStr">
        <is>
          <t>Fil Pt Generasi Sriana Putra 02 (Gd Cdp)</t>
        </is>
      </c>
      <c r="D68" s="23" t="n"/>
      <c r="E68" s="66" t="n">
        <v>700</v>
      </c>
      <c r="F68" s="33" t="n">
        <v>17</v>
      </c>
      <c r="G68" s="33" t="n">
        <v>12</v>
      </c>
      <c r="H68" s="33" t="n">
        <v>7</v>
      </c>
      <c r="I68" s="64" t="inlineStr">
        <is>
          <t>Desa Tersana Sukagumiwang Indramayu</t>
        </is>
      </c>
      <c r="J68" s="64" t="inlineStr">
        <is>
          <t>Tersana Sukagumiwang Indramayu</t>
        </is>
      </c>
      <c r="K68" s="64" t="n"/>
      <c r="L68" s="19" t="inlineStr">
        <is>
          <t>Candangpinggan</t>
        </is>
      </c>
      <c r="M68" s="65" t="inlineStr">
        <is>
          <t>Perlu verifikasi</t>
        </is>
      </c>
    </row>
    <row r="69" ht="15" customFormat="1" customHeight="1" s="9">
      <c r="B69" s="10">
        <f>+B68+1</f>
        <v/>
      </c>
      <c r="C69" s="19" t="inlineStr">
        <is>
          <t>Pt Pupuk Indonesia Pangan</t>
        </is>
      </c>
      <c r="D69" s="10" t="n">
        <v>2116.4</v>
      </c>
      <c r="E69" s="66" t="n">
        <v>5000</v>
      </c>
      <c r="F69" s="33" t="n">
        <v>44</v>
      </c>
      <c r="G69" s="33" t="n">
        <v>48</v>
      </c>
      <c r="H69" s="33" t="n">
        <v>8</v>
      </c>
      <c r="I69" s="19" t="inlineStr">
        <is>
          <t>Patrol Kec Patrol Indramayu</t>
        </is>
      </c>
      <c r="J69" s="19" t="inlineStr">
        <is>
          <t>Patrol</t>
        </is>
      </c>
      <c r="K69" s="19" t="inlineStr">
        <is>
          <t>Patrol</t>
        </is>
      </c>
      <c r="L69" s="19" t="inlineStr">
        <is>
          <t>Kedungwungu</t>
        </is>
      </c>
      <c r="M69" t="inlineStr">
        <is>
          <t>Terbaca otomatis</t>
        </is>
      </c>
    </row>
    <row r="70" ht="15" customHeight="1">
      <c r="B70" s="10">
        <f>+B69+1</f>
        <v/>
      </c>
      <c r="C70" s="19" t="inlineStr">
        <is>
          <t>Berkah Persada Makmur</t>
        </is>
      </c>
      <c r="D70" s="10" t="n">
        <v>1054</v>
      </c>
      <c r="E70" s="66" t="n">
        <v>3000</v>
      </c>
      <c r="F70" s="33" t="n">
        <v>56</v>
      </c>
      <c r="G70" s="33" t="n">
        <v>22</v>
      </c>
      <c r="H70" s="33" t="n">
        <v>9</v>
      </c>
      <c r="I70" s="19" t="inlineStr">
        <is>
          <t>Ds Krmulya Kec Kandanghaur Indramayu</t>
        </is>
      </c>
      <c r="J70" s="19" t="inlineStr">
        <is>
          <t>Ds Krmulya</t>
        </is>
      </c>
      <c r="K70" s="19" t="inlineStr">
        <is>
          <t>Kandanghaur</t>
        </is>
      </c>
      <c r="L70" s="19" t="inlineStr">
        <is>
          <t>Pekandangan</t>
        </is>
      </c>
      <c r="M70" t="inlineStr">
        <is>
          <t>Terbaca otomatis</t>
        </is>
      </c>
    </row>
    <row r="71" ht="15" customHeight="1">
      <c r="B71" s="10">
        <f>+B70+1</f>
        <v/>
      </c>
      <c r="C71" s="19" t="inlineStr">
        <is>
          <t>Gudang Caya (Gd Lwg)</t>
        </is>
      </c>
      <c r="D71" s="10">
        <f>+F71*G71</f>
        <v/>
      </c>
      <c r="E71" s="66" t="n">
        <v>3000</v>
      </c>
      <c r="F71" s="33" t="n">
        <v>42</v>
      </c>
      <c r="G71" s="33" t="n">
        <v>25</v>
      </c>
      <c r="H71" s="33" t="n">
        <v>7</v>
      </c>
      <c r="I71" s="64" t="inlineStr">
        <is>
          <t>Ds Leuwigede Widasari Indramayu</t>
        </is>
      </c>
      <c r="J71" s="64" t="n"/>
      <c r="K71" s="64" t="n"/>
      <c r="L71" s="19" t="inlineStr">
        <is>
          <t>Leuwigede</t>
        </is>
      </c>
      <c r="M71" s="65" t="inlineStr">
        <is>
          <t>Perlu verifikasi</t>
        </is>
      </c>
    </row>
    <row r="72" ht="15" customHeight="1">
      <c r="B72" s="10">
        <f>+B71+1</f>
        <v/>
      </c>
      <c r="C72" s="19" t="inlineStr">
        <is>
          <t>Gudang Slamet Rahayu 01 (Gd Pkd)</t>
        </is>
      </c>
      <c r="D72" s="10">
        <f>+F72*G72</f>
        <v/>
      </c>
      <c r="E72" s="66" t="n">
        <v>4000</v>
      </c>
      <c r="F72" s="33" t="n">
        <v>76</v>
      </c>
      <c r="G72" s="33" t="n">
        <v>22</v>
      </c>
      <c r="H72" s="33" t="n">
        <v>7</v>
      </c>
      <c r="I72" s="64" t="inlineStr">
        <is>
          <t>Jl Raya Pantura Lama Indramayu</t>
        </is>
      </c>
      <c r="J72" s="64" t="n"/>
      <c r="K72" s="64" t="n"/>
      <c r="L72" s="19" t="inlineStr">
        <is>
          <t>Pekandangan</t>
        </is>
      </c>
      <c r="M72" s="65" t="inlineStr">
        <is>
          <t>Perlu verifikasi</t>
        </is>
      </c>
    </row>
    <row r="73" ht="15" customHeight="1">
      <c r="B73" s="10">
        <f>+B72+1</f>
        <v/>
      </c>
      <c r="C73" s="19" t="inlineStr">
        <is>
          <t>Gudang Slamet Rahayu 02 (Gd Pkd)</t>
        </is>
      </c>
      <c r="D73" s="10">
        <f>+F73*G73</f>
        <v/>
      </c>
      <c r="E73" s="66" t="n">
        <v>3000</v>
      </c>
      <c r="F73" s="33" t="n">
        <v>42</v>
      </c>
      <c r="G73" s="33" t="n">
        <v>25</v>
      </c>
      <c r="H73" s="33" t="n">
        <v>7</v>
      </c>
      <c r="I73" s="64" t="inlineStr">
        <is>
          <t>Desa Leuwigede Widasari Indramayu</t>
        </is>
      </c>
      <c r="J73" s="64" t="inlineStr">
        <is>
          <t>Leuwigede Widasari Indramayu</t>
        </is>
      </c>
      <c r="K73" s="64" t="n"/>
      <c r="L73" s="19" t="inlineStr">
        <is>
          <t>Pekandangan</t>
        </is>
      </c>
      <c r="M73" s="65" t="inlineStr">
        <is>
          <t>Perlu verifikasi</t>
        </is>
      </c>
    </row>
    <row r="74" ht="15" customHeight="1">
      <c r="B74" s="10">
        <f>+B73+1</f>
        <v/>
      </c>
      <c r="C74" s="19" t="inlineStr">
        <is>
          <t>Gudang Rasidi (Gd Cdp)</t>
        </is>
      </c>
      <c r="D74" s="10" t="n">
        <v>904</v>
      </c>
      <c r="E74" s="66" t="n">
        <v>4000</v>
      </c>
      <c r="F74" s="33">
        <f>28+25</f>
        <v/>
      </c>
      <c r="G74" s="33" t="n">
        <v>17</v>
      </c>
      <c r="H74" s="33" t="n">
        <v>7</v>
      </c>
      <c r="I74" s="64" t="inlineStr">
        <is>
          <t>Desa Rancajawat Tukdana Indramayu</t>
        </is>
      </c>
      <c r="J74" s="64" t="inlineStr">
        <is>
          <t>Rancajawat Tukdana Indramayu</t>
        </is>
      </c>
      <c r="K74" s="64" t="n"/>
      <c r="L74" s="19" t="inlineStr">
        <is>
          <t>Candangpinggan</t>
        </is>
      </c>
      <c r="M74" s="65" t="inlineStr">
        <is>
          <t>Perlu verifikasi</t>
        </is>
      </c>
    </row>
    <row r="75" ht="15" customHeight="1">
      <c r="B75" s="10">
        <f>+B74+1</f>
        <v/>
      </c>
      <c r="C75" s="19" t="inlineStr">
        <is>
          <t>Gudang H Sunita (Gd Cdp)</t>
        </is>
      </c>
      <c r="D75" s="10">
        <f>+F75*G75</f>
        <v/>
      </c>
      <c r="E75" s="66" t="n">
        <v>1500</v>
      </c>
      <c r="F75" s="33" t="n">
        <v>26</v>
      </c>
      <c r="G75" s="33" t="n">
        <v>24</v>
      </c>
      <c r="H75" s="33" t="n">
        <v>6</v>
      </c>
      <c r="I75" s="64" t="inlineStr">
        <is>
          <t>Desa Lemahayu Kertasemaya Indramayu</t>
        </is>
      </c>
      <c r="J75" s="64" t="inlineStr">
        <is>
          <t>Lemahayu Kertasemaya Indramayu</t>
        </is>
      </c>
      <c r="K75" s="64" t="n"/>
      <c r="L75" s="19" t="inlineStr">
        <is>
          <t>Candangpinggan</t>
        </is>
      </c>
      <c r="M75" s="65" t="inlineStr">
        <is>
          <t>Perlu verifikasi</t>
        </is>
      </c>
    </row>
    <row r="76" ht="15" customHeight="1">
      <c r="B76" s="10">
        <f>+B75+1</f>
        <v/>
      </c>
      <c r="C76" s="19" t="inlineStr">
        <is>
          <t>Gudang Sariya (Gd Pkd)</t>
        </is>
      </c>
      <c r="D76" s="10">
        <f>+F76*G76</f>
        <v/>
      </c>
      <c r="E76" s="66" t="n">
        <v>2500</v>
      </c>
      <c r="F76" s="33" t="n">
        <v>40</v>
      </c>
      <c r="G76" s="33" t="n">
        <v>25</v>
      </c>
      <c r="H76" s="33" t="n">
        <v>7</v>
      </c>
      <c r="I76" s="64" t="inlineStr">
        <is>
          <t>Jl Tambak Raya Lemahmekar Indramayu</t>
        </is>
      </c>
      <c r="J76" s="64" t="n"/>
      <c r="K76" s="64" t="n"/>
      <c r="L76" s="19" t="inlineStr">
        <is>
          <t>Pekandangan</t>
        </is>
      </c>
      <c r="M76" s="65" t="inlineStr">
        <is>
          <t>Perlu verifikasi</t>
        </is>
      </c>
    </row>
    <row r="77" ht="15" customHeight="1">
      <c r="B77" s="10">
        <f>+B76+1</f>
        <v/>
      </c>
      <c r="C77" s="19" t="inlineStr">
        <is>
          <t>Gudang Saepudin 02 (Gd Kdw)</t>
        </is>
      </c>
      <c r="D77" s="10">
        <f>+F77*G77</f>
        <v/>
      </c>
      <c r="E77" s="66" t="n">
        <v>1000</v>
      </c>
      <c r="F77" s="33" t="n">
        <v>20</v>
      </c>
      <c r="G77" s="33" t="n">
        <v>20</v>
      </c>
      <c r="H77" s="33" t="n">
        <v>6</v>
      </c>
      <c r="I77" s="19" t="inlineStr">
        <is>
          <t>Desa Situraja Kec Gantar Indramayu</t>
        </is>
      </c>
      <c r="J77" s="19" t="inlineStr">
        <is>
          <t>Situraja</t>
        </is>
      </c>
      <c r="K77" s="19" t="inlineStr">
        <is>
          <t>Gantar</t>
        </is>
      </c>
      <c r="L77" s="19" t="inlineStr">
        <is>
          <t>Kedungwungu</t>
        </is>
      </c>
      <c r="M77" t="inlineStr">
        <is>
          <t>Terbaca otomatis</t>
        </is>
      </c>
    </row>
    <row r="78" ht="15" customHeight="1">
      <c r="B78" s="10">
        <f>+B77+1</f>
        <v/>
      </c>
      <c r="C78" s="19" t="inlineStr">
        <is>
          <t>Gudang Firman Lubis (Gd Los)</t>
        </is>
      </c>
      <c r="D78" s="10">
        <f>+F78*G78</f>
        <v/>
      </c>
      <c r="E78" s="66" t="n">
        <v>7000</v>
      </c>
      <c r="F78" s="33" t="n">
        <v>70</v>
      </c>
      <c r="G78" s="33" t="n">
        <v>33</v>
      </c>
      <c r="H78" s="33" t="n">
        <v>8</v>
      </c>
      <c r="I78" s="64" t="inlineStr">
        <is>
          <t>Desa Karanganyar Kandanghaur Indramayu</t>
        </is>
      </c>
      <c r="J78" s="64" t="inlineStr">
        <is>
          <t>Karanganyar Kandanghaur Indramayu</t>
        </is>
      </c>
      <c r="K78" s="64" t="n"/>
      <c r="L78" s="19" t="inlineStr">
        <is>
          <t>Losarang</t>
        </is>
      </c>
      <c r="M78" s="65" t="inlineStr">
        <is>
          <t>Perlu verifikasi</t>
        </is>
      </c>
    </row>
    <row r="79" ht="15" customHeight="1">
      <c r="B79" s="10">
        <f>+B78+1</f>
        <v/>
      </c>
      <c r="C79" s="19" t="inlineStr">
        <is>
          <t>Gudang Sunendi Bin Sakim (Gd Kdw)</t>
        </is>
      </c>
      <c r="D79" s="10">
        <f>+F79*G79</f>
        <v/>
      </c>
      <c r="E79" s="63" t="n">
        <v>2500</v>
      </c>
      <c r="F79" s="33" t="n">
        <v>26</v>
      </c>
      <c r="G79" s="33" t="n">
        <v>20</v>
      </c>
      <c r="H79" s="33" t="n">
        <v>7</v>
      </c>
      <c r="I79" s="19" t="inlineStr">
        <is>
          <t>Desa Kroya Kec Kroya Indramayu</t>
        </is>
      </c>
      <c r="J79" s="19" t="inlineStr">
        <is>
          <t>Kroya</t>
        </is>
      </c>
      <c r="K79" s="19" t="inlineStr">
        <is>
          <t>Kroya</t>
        </is>
      </c>
      <c r="L79" s="19" t="inlineStr">
        <is>
          <t>Kedungwungu</t>
        </is>
      </c>
      <c r="M79" t="inlineStr">
        <is>
          <t>Terbaca otomatis</t>
        </is>
      </c>
    </row>
    <row r="80" ht="15" customHeight="1">
      <c r="B80" s="10">
        <f>+B79+1</f>
        <v/>
      </c>
      <c r="C80" s="19" t="inlineStr">
        <is>
          <t>Gudang Agus Maqori 02 (Gd Sk1)</t>
        </is>
      </c>
      <c r="D80" s="10" t="n">
        <v>2142</v>
      </c>
      <c r="E80" s="63" t="n">
        <v>5000</v>
      </c>
      <c r="F80" s="33" t="n">
        <v>66</v>
      </c>
      <c r="G80" s="33" t="n">
        <v>33</v>
      </c>
      <c r="H80" s="33" t="n">
        <v>7</v>
      </c>
      <c r="I80" s="64" t="inlineStr">
        <is>
          <t>Blok Tegalasemaya Ds Singakerta Krangkeng Indramayu</t>
        </is>
      </c>
      <c r="J80" s="64" t="n"/>
      <c r="K80" s="64" t="n"/>
      <c r="L80" s="19" t="inlineStr">
        <is>
          <t>Singakerta 1</t>
        </is>
      </c>
      <c r="M80" s="65" t="inlineStr">
        <is>
          <t>Perlu verifikasi</t>
        </is>
      </c>
    </row>
    <row r="81" ht="15" customHeight="1">
      <c r="B81" s="10">
        <f>+B80+1</f>
        <v/>
      </c>
      <c r="C81" s="19" t="inlineStr">
        <is>
          <t>Gudang H. Pandi (Gd Pkd)</t>
        </is>
      </c>
      <c r="D81" s="10" t="n">
        <v>2362</v>
      </c>
      <c r="E81" s="63" t="n">
        <v>5500</v>
      </c>
      <c r="F81" s="33" t="n">
        <v>36</v>
      </c>
      <c r="G81" s="33" t="n">
        <v>35</v>
      </c>
      <c r="H81" s="33" t="n">
        <v>7</v>
      </c>
      <c r="I81" s="64" t="inlineStr">
        <is>
          <t>Jl. Karangampel Kab. Indramayu</t>
        </is>
      </c>
      <c r="J81" s="64" t="n"/>
      <c r="K81" s="64" t="n"/>
      <c r="L81" s="19" t="inlineStr">
        <is>
          <t>Pekandangan</t>
        </is>
      </c>
      <c r="M81" s="65" t="inlineStr">
        <is>
          <t>Perlu verifikasi</t>
        </is>
      </c>
    </row>
    <row r="82" ht="15" customHeight="1">
      <c r="B82" s="10">
        <f>+B81+1</f>
        <v/>
      </c>
      <c r="C82" s="19" t="inlineStr">
        <is>
          <t>Gudang Satrio J.P (Gd Lwg)</t>
        </is>
      </c>
      <c r="D82" s="10">
        <f>+F82*G82</f>
        <v/>
      </c>
      <c r="E82" s="63" t="n">
        <v>3500</v>
      </c>
      <c r="F82" s="33" t="n">
        <v>96</v>
      </c>
      <c r="G82" s="33" t="n">
        <v>29</v>
      </c>
      <c r="H82" s="33" t="n">
        <v>8</v>
      </c>
      <c r="I82" s="19" t="inlineStr">
        <is>
          <t>Desa Leuwigede Kec. Widasari Kab. Indramayu</t>
        </is>
      </c>
      <c r="J82" s="19" t="inlineStr">
        <is>
          <t>Leuwigede</t>
        </is>
      </c>
      <c r="K82" s="19" t="inlineStr">
        <is>
          <t>Widasari</t>
        </is>
      </c>
      <c r="L82" s="19" t="inlineStr">
        <is>
          <t>Leuwigede</t>
        </is>
      </c>
      <c r="M82" t="inlineStr">
        <is>
          <t>Terbaca otomatis</t>
        </is>
      </c>
    </row>
    <row r="83" ht="15" customHeight="1">
      <c r="B83" s="10">
        <f>+B82+1</f>
        <v/>
      </c>
      <c r="C83" s="19" t="inlineStr">
        <is>
          <t>Gudang Wahyudin (Gd Sk2)</t>
        </is>
      </c>
      <c r="D83" s="10">
        <f>+F83*G83</f>
        <v/>
      </c>
      <c r="E83" s="63" t="n">
        <v>1700</v>
      </c>
      <c r="F83" s="33" t="n">
        <v>30</v>
      </c>
      <c r="G83" s="33" t="n">
        <v>20</v>
      </c>
      <c r="H83" s="33" t="n">
        <v>7</v>
      </c>
      <c r="I83" s="19" t="inlineStr">
        <is>
          <t>Desa Srengseng Kec. Krangkeng Kab. Indramayu</t>
        </is>
      </c>
      <c r="J83" s="19" t="inlineStr">
        <is>
          <t>Srengseng</t>
        </is>
      </c>
      <c r="K83" s="19" t="inlineStr">
        <is>
          <t>Krangkeng</t>
        </is>
      </c>
      <c r="L83" s="19" t="inlineStr">
        <is>
          <t>Singakerta 2</t>
        </is>
      </c>
      <c r="M83" t="inlineStr">
        <is>
          <t>Terbaca otomatis</t>
        </is>
      </c>
    </row>
    <row r="84" ht="15" customHeight="1">
      <c r="B84" s="10">
        <f>+B83+1</f>
        <v/>
      </c>
      <c r="C84" s="19" t="inlineStr">
        <is>
          <t>Gudang M Wildan Aripin (Gd Tgg)</t>
        </is>
      </c>
      <c r="D84" s="10">
        <f>+F84*G84</f>
        <v/>
      </c>
      <c r="E84" s="63" t="n">
        <v>1800</v>
      </c>
      <c r="F84" s="33" t="n">
        <v>60</v>
      </c>
      <c r="G84" s="33" t="n">
        <v>40</v>
      </c>
      <c r="H84" s="33" t="n">
        <v>7</v>
      </c>
      <c r="I84" s="19" t="inlineStr">
        <is>
          <t>Desa Rancajawat Kec. Tukdana Kab. Indramayu</t>
        </is>
      </c>
      <c r="J84" s="19" t="inlineStr">
        <is>
          <t>Rancajawat</t>
        </is>
      </c>
      <c r="K84" s="19" t="inlineStr">
        <is>
          <t>Tukdana</t>
        </is>
      </c>
      <c r="L84" s="19" t="inlineStr">
        <is>
          <t>Tegalgirang</t>
        </is>
      </c>
      <c r="M84" t="inlineStr">
        <is>
          <t>Terbaca otomatis</t>
        </is>
      </c>
    </row>
    <row r="85" ht="15" customHeight="1">
      <c r="B85" s="10">
        <f>+B84+1</f>
        <v/>
      </c>
      <c r="C85" s="19" t="inlineStr">
        <is>
          <t>Gudang M Wildan Aripin 02 (Gd Tgg)</t>
        </is>
      </c>
      <c r="D85" s="10">
        <f>+F85*G85</f>
        <v/>
      </c>
      <c r="E85" s="63" t="n">
        <v>800</v>
      </c>
      <c r="F85" s="33" t="n">
        <v>13</v>
      </c>
      <c r="G85" s="33" t="n">
        <v>35</v>
      </c>
      <c r="H85" s="33" t="n">
        <v>7</v>
      </c>
      <c r="I85" s="19" t="inlineStr">
        <is>
          <t>Desa Rancajawat Kec. Tukdana Indramayu</t>
        </is>
      </c>
      <c r="J85" s="19" t="inlineStr">
        <is>
          <t>Rancajawat</t>
        </is>
      </c>
      <c r="K85" s="19" t="inlineStr">
        <is>
          <t>Tukdana</t>
        </is>
      </c>
      <c r="L85" s="19" t="inlineStr">
        <is>
          <t>Tegalgirang</t>
        </is>
      </c>
      <c r="M85" t="inlineStr">
        <is>
          <t>Terbaca otomatis</t>
        </is>
      </c>
    </row>
    <row r="86" ht="15" customHeight="1">
      <c r="B86" s="10">
        <f>+B85+1</f>
        <v/>
      </c>
      <c r="C86" s="19" t="inlineStr">
        <is>
          <t>Gudang Ade Irawan (Gd Sk1)</t>
        </is>
      </c>
      <c r="D86" s="10">
        <f>+F86*G86</f>
        <v/>
      </c>
      <c r="E86" s="63" t="n">
        <v>1500</v>
      </c>
      <c r="F86" s="33" t="n">
        <v>35</v>
      </c>
      <c r="G86" s="33" t="n">
        <v>22</v>
      </c>
      <c r="H86" s="33" t="n">
        <v>6</v>
      </c>
      <c r="I86" s="19" t="inlineStr">
        <is>
          <t>Desa Karangampel Kec. Karangampel Kab. Indramayu</t>
        </is>
      </c>
      <c r="J86" s="19" t="inlineStr">
        <is>
          <t>Karangampel</t>
        </is>
      </c>
      <c r="K86" s="19" t="inlineStr">
        <is>
          <t>Karangampel</t>
        </is>
      </c>
      <c r="L86" s="19" t="inlineStr">
        <is>
          <t>Singakerta 1</t>
        </is>
      </c>
      <c r="M86" t="inlineStr">
        <is>
          <t>Terbaca otomatis</t>
        </is>
      </c>
    </row>
    <row r="87" ht="15" customHeight="1">
      <c r="B87" s="10">
        <f>+B86+1</f>
        <v/>
      </c>
      <c r="C87" s="19" t="inlineStr">
        <is>
          <t>Gudang Fikri Miftaahul Zaman 03 (Gd Tgg)</t>
        </is>
      </c>
      <c r="D87" s="10">
        <f>+F87*G87</f>
        <v/>
      </c>
      <c r="E87" s="63" t="n">
        <v>1200</v>
      </c>
      <c r="F87" s="33" t="n">
        <v>20</v>
      </c>
      <c r="G87" s="33" t="n">
        <v>22</v>
      </c>
      <c r="H87" s="33" t="n">
        <v>7</v>
      </c>
      <c r="I87" s="19" t="inlineStr">
        <is>
          <t>Desa Tempel Kulon Rt/Rw 001/001 Blok Sana Kec. Lelea Kab. Indramayu</t>
        </is>
      </c>
      <c r="J87" s="19" t="inlineStr">
        <is>
          <t>Tempel Kulon Rt/Rw 001/001</t>
        </is>
      </c>
      <c r="K87" s="19" t="inlineStr">
        <is>
          <t>Lelea</t>
        </is>
      </c>
      <c r="L87" s="19" t="inlineStr">
        <is>
          <t>Tegalgirang</t>
        </is>
      </c>
      <c r="M87" t="inlineStr">
        <is>
          <t>Terbaca otomatis</t>
        </is>
      </c>
    </row>
    <row r="88" ht="15" customHeight="1">
      <c r="B88" s="10">
        <f>+B87+1</f>
        <v/>
      </c>
      <c r="C88" s="19" t="inlineStr">
        <is>
          <t>Gudang Danuki (Gd Cdp)</t>
        </is>
      </c>
      <c r="D88" s="10">
        <f>+F88*G88</f>
        <v/>
      </c>
      <c r="E88" s="63" t="n">
        <v>3500</v>
      </c>
      <c r="F88" s="33" t="n">
        <v>58</v>
      </c>
      <c r="G88" s="33" t="n">
        <v>26</v>
      </c>
      <c r="H88" s="33" t="n">
        <v>8</v>
      </c>
      <c r="I88" s="19" t="inlineStr">
        <is>
          <t>Jl. Raya Jatibarang Desa Rancajawat Kec. Tukdana Kab. Indramayu</t>
        </is>
      </c>
      <c r="J88" s="19" t="inlineStr">
        <is>
          <t>Rancajawat</t>
        </is>
      </c>
      <c r="K88" s="19" t="inlineStr">
        <is>
          <t>Tukdana</t>
        </is>
      </c>
      <c r="L88" s="19" t="inlineStr">
        <is>
          <t>Candangpinggan</t>
        </is>
      </c>
      <c r="M88" t="inlineStr">
        <is>
          <t>Terbaca otomatis</t>
        </is>
      </c>
    </row>
    <row r="89" ht="15" customHeight="1">
      <c r="B89" s="10">
        <f>+B88+1</f>
        <v/>
      </c>
      <c r="C89" s="19" t="inlineStr">
        <is>
          <t>Fil Lumbung Pangan Bambu (Gd Pkd)</t>
        </is>
      </c>
      <c r="D89" s="10" t="n"/>
      <c r="E89" s="63" t="n">
        <v>792</v>
      </c>
      <c r="F89" s="33" t="n">
        <v>33</v>
      </c>
      <c r="G89" s="33" t="n">
        <v>10</v>
      </c>
      <c r="H89" s="33" t="n">
        <v>6</v>
      </c>
      <c r="I89" s="19" t="inlineStr">
        <is>
          <t>Desa Panyindangan Wetan Kec Sindang Indramayu</t>
        </is>
      </c>
      <c r="J89" s="19" t="inlineStr">
        <is>
          <t>Panyindangan Wetan</t>
        </is>
      </c>
      <c r="K89" s="19" t="inlineStr">
        <is>
          <t>Sindang</t>
        </is>
      </c>
      <c r="L89" s="19" t="inlineStr">
        <is>
          <t>Pekandangan</t>
        </is>
      </c>
      <c r="M89" t="inlineStr">
        <is>
          <t>Terbaca otomatis</t>
        </is>
      </c>
    </row>
    <row r="90" ht="15" customHeight="1">
      <c r="B90" s="10">
        <f>+B89+1</f>
        <v/>
      </c>
      <c r="C90" s="19" t="inlineStr">
        <is>
          <t>Fil Urip Berkah Jaya 02 (Gd Kdw)</t>
        </is>
      </c>
      <c r="D90" s="10" t="n"/>
      <c r="E90" s="63" t="n">
        <v>1152</v>
      </c>
      <c r="F90" s="33" t="n">
        <v>30</v>
      </c>
      <c r="G90" s="33" t="n">
        <v>16</v>
      </c>
      <c r="H90" s="33" t="n">
        <v>6</v>
      </c>
      <c r="I90" s="64" t="inlineStr">
        <is>
          <t>Jl. Legok Kertawinangun Kec. Kandanghaur Indramayu</t>
        </is>
      </c>
      <c r="J90" s="64" t="n"/>
      <c r="K90" s="64" t="inlineStr">
        <is>
          <t>Kandanghaur</t>
        </is>
      </c>
      <c r="L90" s="19" t="inlineStr">
        <is>
          <t>Kedungwungu</t>
        </is>
      </c>
      <c r="M90" s="65" t="inlineStr">
        <is>
          <t>Perlu verifikasi</t>
        </is>
      </c>
    </row>
    <row r="91" ht="15" customHeight="1">
      <c r="B91" s="10">
        <f>+B90+1</f>
        <v/>
      </c>
      <c r="C91" s="19" t="inlineStr">
        <is>
          <t>Fil Ipik Sumber Jaya 02 (Gd Kdw)</t>
        </is>
      </c>
      <c r="D91" s="10" t="n"/>
      <c r="E91" s="63" t="n">
        <v>1380</v>
      </c>
      <c r="F91" s="33" t="n">
        <v>25</v>
      </c>
      <c r="G91" s="33" t="n">
        <v>23</v>
      </c>
      <c r="H91" s="33" t="n">
        <v>6</v>
      </c>
      <c r="I91" s="19" t="inlineStr">
        <is>
          <t>Kedungdawa, Kec. Gabuswetan Indramayu</t>
        </is>
      </c>
      <c r="J91" s="19" t="inlineStr">
        <is>
          <t>Kedungdawa,</t>
        </is>
      </c>
      <c r="K91" s="19" t="inlineStr">
        <is>
          <t>Gabuswetan</t>
        </is>
      </c>
      <c r="L91" s="19" t="inlineStr">
        <is>
          <t>Kedungwungu</t>
        </is>
      </c>
      <c r="M91" t="inlineStr">
        <is>
          <t>Terbaca otomatis</t>
        </is>
      </c>
    </row>
    <row r="92" ht="15" customHeight="1">
      <c r="B92" s="10">
        <f>+B91+1</f>
        <v/>
      </c>
      <c r="C92" s="19" t="inlineStr">
        <is>
          <t>Fil CV Megang Bintang Kurniawan (Gd Kdw)</t>
        </is>
      </c>
      <c r="D92" s="10" t="n"/>
      <c r="E92" s="63" t="n">
        <v>2380</v>
      </c>
      <c r="F92" s="33" t="n">
        <v>32</v>
      </c>
      <c r="G92" s="33" t="n">
        <v>31</v>
      </c>
      <c r="H92" s="33" t="n">
        <v>6</v>
      </c>
      <c r="I92" s="19" t="inlineStr">
        <is>
          <t>Kencana Katileng Patrol Baru Kec. Patrol Indramayu</t>
        </is>
      </c>
      <c r="J92" s="19" t="inlineStr">
        <is>
          <t>Kencana Katileng Patrol Baru</t>
        </is>
      </c>
      <c r="K92" s="19" t="inlineStr">
        <is>
          <t>Patrol</t>
        </is>
      </c>
      <c r="L92" s="19" t="inlineStr">
        <is>
          <t>Kedungwungu</t>
        </is>
      </c>
      <c r="M92" t="inlineStr">
        <is>
          <t>Terbaca otomatis</t>
        </is>
      </c>
    </row>
    <row r="93" ht="15" customHeight="1">
      <c r="B93" s="10">
        <f>+B92+1</f>
        <v/>
      </c>
      <c r="C93" s="19" t="inlineStr">
        <is>
          <t>Gudang Yenny Cyndiani (Gd Los)</t>
        </is>
      </c>
      <c r="D93" s="10">
        <f>+F93*G93</f>
        <v/>
      </c>
      <c r="E93" s="63" t="n">
        <v>864</v>
      </c>
      <c r="F93" s="33" t="n">
        <v>30</v>
      </c>
      <c r="G93" s="33" t="n">
        <v>12</v>
      </c>
      <c r="H93" s="33" t="n">
        <v>6</v>
      </c>
      <c r="I93" s="64" t="inlineStr">
        <is>
          <t>Jl. Raya Gabus, Karanganyar, Kec. Kandanghaur Indramayu</t>
        </is>
      </c>
      <c r="J93" s="64" t="n"/>
      <c r="K93" s="64" t="inlineStr">
        <is>
          <t>Kandanghaur</t>
        </is>
      </c>
      <c r="L93" s="19" t="inlineStr">
        <is>
          <t>Losarang</t>
        </is>
      </c>
      <c r="M93" s="65" t="inlineStr">
        <is>
          <t>Perlu verifikasi</t>
        </is>
      </c>
    </row>
    <row r="94" ht="15" customHeight="1">
      <c r="B94" s="10">
        <f>+B93+1</f>
        <v/>
      </c>
      <c r="C94" s="19" t="inlineStr">
        <is>
          <t>Gudang Edo Adi Ryanto (Gd Kdw)</t>
        </is>
      </c>
      <c r="D94" s="10">
        <f>+F94*G94</f>
        <v/>
      </c>
      <c r="E94" s="63" t="n">
        <v>2270</v>
      </c>
      <c r="F94" s="33" t="n">
        <v>43</v>
      </c>
      <c r="G94" s="33" t="n">
        <v>22</v>
      </c>
      <c r="H94" s="33" t="n">
        <v>6</v>
      </c>
      <c r="I94" s="64" t="inlineStr">
        <is>
          <t>Blok Cipedang Kec. Bongas Kab. Indramayu</t>
        </is>
      </c>
      <c r="J94" s="64" t="n"/>
      <c r="K94" s="64" t="inlineStr">
        <is>
          <t>Bongas</t>
        </is>
      </c>
      <c r="L94" s="19" t="inlineStr">
        <is>
          <t>Kedungwungu</t>
        </is>
      </c>
      <c r="M94" s="65" t="inlineStr">
        <is>
          <t>Perlu verifikasi</t>
        </is>
      </c>
    </row>
    <row r="95" ht="15" customHeight="1">
      <c r="B95" s="10">
        <f>+B94+1</f>
        <v/>
      </c>
      <c r="C95" s="19" t="inlineStr">
        <is>
          <t>Fil Pt Sri Manunggal Jaya 03 (Gd Pkd)</t>
        </is>
      </c>
      <c r="D95" s="10" t="n"/>
      <c r="E95" s="63" t="n">
        <v>600</v>
      </c>
      <c r="F95" s="33" t="n">
        <v>22</v>
      </c>
      <c r="G95" s="33" t="n">
        <v>12</v>
      </c>
      <c r="H95" s="33" t="n">
        <v>6</v>
      </c>
      <c r="I95" s="64" t="inlineStr">
        <is>
          <t>Ds Majakerta Balongan Indramayu</t>
        </is>
      </c>
      <c r="J95" s="64" t="n"/>
      <c r="K95" s="64" t="n"/>
      <c r="L95" s="19" t="inlineStr">
        <is>
          <t>Pekandangan</t>
        </is>
      </c>
      <c r="M95" s="65" t="inlineStr">
        <is>
          <t>Perlu verifikasi</t>
        </is>
      </c>
    </row>
    <row r="96" ht="15" customFormat="1" customHeight="1" s="9">
      <c r="B96" s="10">
        <f>+B95+1</f>
        <v/>
      </c>
      <c r="C96" s="19" t="inlineStr">
        <is>
          <t>Gudang Raswi (Gd Los)</t>
        </is>
      </c>
      <c r="D96" s="10" t="n">
        <v>1980</v>
      </c>
      <c r="E96" s="63" t="n">
        <v>5000</v>
      </c>
      <c r="F96" s="33" t="n">
        <v>45</v>
      </c>
      <c r="G96" s="33" t="n">
        <v>44</v>
      </c>
      <c r="H96" s="33" t="n">
        <v>7</v>
      </c>
      <c r="I96" s="64" t="inlineStr">
        <is>
          <t>Jl. Raya Karangsinom Wirapanjunan Kec. Kandanghaur Kab. Indramayu</t>
        </is>
      </c>
      <c r="J96" s="64" t="n"/>
      <c r="K96" s="64" t="inlineStr">
        <is>
          <t>Kandanghaur</t>
        </is>
      </c>
      <c r="L96" s="19" t="inlineStr">
        <is>
          <t>Losarang</t>
        </is>
      </c>
      <c r="M96" s="65" t="inlineStr">
        <is>
          <t>Perlu verifikasi</t>
        </is>
      </c>
    </row>
    <row r="97" ht="15" customHeight="1">
      <c r="B97" s="10">
        <f>+B96+1</f>
        <v/>
      </c>
      <c r="C97" s="19" t="n"/>
      <c r="D97" s="10" t="n"/>
      <c r="E97" s="63" t="n"/>
      <c r="F97" s="33" t="n"/>
      <c r="G97" s="33" t="n"/>
      <c r="H97" s="33" t="n"/>
      <c r="I97" s="19" t="inlineStr"/>
      <c r="J97" s="19" t="n"/>
      <c r="K97" s="19" t="n"/>
      <c r="L97" s="19" t="inlineStr"/>
    </row>
    <row r="98" ht="15" customHeight="1">
      <c r="B98" s="10">
        <f>+B97+1</f>
        <v/>
      </c>
      <c r="C98" s="19" t="n"/>
      <c r="D98" s="10" t="n"/>
      <c r="E98" s="63" t="n"/>
      <c r="F98" s="33" t="n"/>
      <c r="G98" s="33" t="n"/>
      <c r="H98" s="33" t="n"/>
      <c r="I98" s="19" t="inlineStr"/>
      <c r="J98" s="19" t="n"/>
      <c r="K98" s="19" t="n"/>
      <c r="L98" s="19" t="inlineStr"/>
    </row>
    <row r="99" ht="15" customHeight="1">
      <c r="B99" s="10">
        <f>+B98+1</f>
        <v/>
      </c>
      <c r="C99" s="19" t="n"/>
      <c r="D99" s="10" t="n"/>
      <c r="E99" s="63" t="n"/>
      <c r="F99" s="33" t="n"/>
      <c r="G99" s="33" t="n"/>
      <c r="H99" s="33" t="n"/>
      <c r="I99" s="19" t="inlineStr"/>
      <c r="J99" s="19" t="n"/>
      <c r="K99" s="19" t="n"/>
      <c r="L99" s="19" t="inlineStr"/>
    </row>
    <row r="100" ht="15" customHeight="1">
      <c r="B100" s="10">
        <f>+B99+1</f>
        <v/>
      </c>
      <c r="C100" s="19" t="n"/>
      <c r="D100" s="10" t="n"/>
      <c r="E100" s="63" t="n"/>
      <c r="F100" s="33" t="n"/>
      <c r="G100" s="33" t="n"/>
      <c r="H100" s="33" t="n"/>
      <c r="I100" s="19" t="inlineStr"/>
      <c r="J100" s="19" t="n"/>
      <c r="K100" s="19" t="n"/>
      <c r="L100" s="19" t="inlineStr"/>
    </row>
    <row r="101" ht="15" customHeight="1">
      <c r="B101" s="10">
        <f>+B100+1</f>
        <v/>
      </c>
      <c r="C101" s="19" t="n"/>
      <c r="D101" s="10" t="n"/>
      <c r="E101" s="63" t="n"/>
      <c r="F101" s="33" t="n"/>
      <c r="G101" s="33" t="n"/>
      <c r="H101" s="33" t="n"/>
      <c r="I101" s="19" t="inlineStr"/>
      <c r="J101" s="19" t="n"/>
      <c r="K101" s="19" t="n"/>
      <c r="L101" s="19" t="inlineStr"/>
    </row>
    <row r="102" ht="15" customHeight="1">
      <c r="B102" s="10">
        <f>+B101+1</f>
        <v/>
      </c>
      <c r="C102" s="19" t="n"/>
      <c r="D102" s="10" t="n"/>
      <c r="E102" s="63" t="n"/>
      <c r="F102" s="33" t="n"/>
      <c r="G102" s="33" t="n"/>
      <c r="H102" s="33" t="n"/>
      <c r="I102" s="19" t="inlineStr"/>
      <c r="J102" s="19" t="n"/>
      <c r="K102" s="19" t="n"/>
      <c r="L102" s="19" t="inlineStr"/>
    </row>
    <row r="103" ht="15" customHeight="1">
      <c r="B103" s="10">
        <f>+B102+1</f>
        <v/>
      </c>
      <c r="C103" s="19" t="n"/>
      <c r="D103" s="10" t="n"/>
      <c r="E103" s="63" t="n"/>
      <c r="F103" s="33" t="n"/>
      <c r="G103" s="33" t="n"/>
      <c r="H103" s="33" t="n"/>
      <c r="I103" s="19" t="inlineStr"/>
      <c r="J103" s="19" t="n"/>
      <c r="K103" s="19" t="n"/>
      <c r="L103" s="19" t="inlineStr"/>
    </row>
    <row r="104" ht="15.75" customHeight="1">
      <c r="B104" s="39" t="inlineStr">
        <is>
          <t>TOTAL</t>
        </is>
      </c>
      <c r="C104" s="60" t="n"/>
      <c r="D104" s="39" t="n"/>
      <c r="E104" s="67">
        <f>SUM(E5:E103)</f>
        <v/>
      </c>
      <c r="F104" s="37" t="n"/>
      <c r="G104" s="37" t="n"/>
      <c r="H104" s="37" t="n"/>
      <c r="I104" s="38" t="inlineStr"/>
      <c r="J104" s="38" t="n"/>
      <c r="K104" s="38" t="n"/>
      <c r="L104" s="38" t="inlineStr"/>
    </row>
    <row r="105">
      <c r="E105" s="68" t="n"/>
      <c r="I105" t="inlineStr"/>
      <c r="L105" t="inlineStr"/>
    </row>
    <row r="106">
      <c r="E106" s="69" t="n"/>
      <c r="I106" t="inlineStr"/>
      <c r="L106" t="inlineStr"/>
    </row>
    <row r="107">
      <c r="E107" s="69" t="n"/>
      <c r="I107" t="inlineStr"/>
      <c r="L107" t="inlineStr"/>
    </row>
    <row r="108">
      <c r="E108" s="69" t="n"/>
      <c r="I108" t="inlineStr"/>
      <c r="L108" t="inlineStr"/>
    </row>
    <row r="109">
      <c r="I109" t="inlineStr"/>
      <c r="L109" t="inlineStr"/>
    </row>
    <row r="110">
      <c r="I110" t="inlineStr"/>
      <c r="L110" t="inlineStr"/>
    </row>
    <row r="111">
      <c r="I111" t="inlineStr"/>
      <c r="L111" t="inlineStr"/>
    </row>
    <row r="112">
      <c r="I112" t="inlineStr"/>
      <c r="L112" t="inlineStr"/>
    </row>
    <row r="113">
      <c r="I113" t="inlineStr"/>
      <c r="L113" t="inlineStr"/>
    </row>
    <row r="114">
      <c r="I114" t="inlineStr"/>
      <c r="L114" t="inlineStr"/>
    </row>
    <row r="115">
      <c r="I115" t="inlineStr"/>
      <c r="L115" t="inlineStr"/>
    </row>
    <row r="116">
      <c r="I116" t="inlineStr"/>
      <c r="L116" t="inlineStr"/>
    </row>
    <row r="117">
      <c r="I117" t="inlineStr"/>
      <c r="L117" t="inlineStr"/>
    </row>
    <row r="118">
      <c r="I118" t="inlineStr"/>
      <c r="L118" t="inlineStr"/>
    </row>
    <row r="119">
      <c r="I119" t="inlineStr"/>
      <c r="L119" t="inlineStr"/>
    </row>
    <row r="120">
      <c r="I120" t="inlineStr"/>
      <c r="L120" t="inlineStr"/>
    </row>
    <row r="121">
      <c r="I121" t="inlineStr"/>
      <c r="L121" t="inlineStr"/>
    </row>
    <row r="122">
      <c r="I122" t="inlineStr"/>
      <c r="L122" t="inlineStr"/>
    </row>
    <row r="123">
      <c r="I123" t="inlineStr"/>
      <c r="L123" t="inlineStr"/>
    </row>
    <row r="124">
      <c r="I124" t="inlineStr"/>
      <c r="L124" t="inlineStr"/>
    </row>
    <row r="125">
      <c r="I125" t="inlineStr"/>
      <c r="L125" t="inlineStr"/>
    </row>
    <row r="126">
      <c r="I126" t="inlineStr"/>
      <c r="L126" t="inlineStr"/>
    </row>
    <row r="127">
      <c r="I127" t="inlineStr"/>
      <c r="L127" t="inlineStr"/>
    </row>
    <row r="128">
      <c r="I128" t="inlineStr"/>
      <c r="L128" t="inlineStr"/>
    </row>
    <row r="129">
      <c r="I129" t="inlineStr"/>
      <c r="L129" t="inlineStr"/>
    </row>
    <row r="130">
      <c r="I130" t="inlineStr"/>
      <c r="L130" t="inlineStr"/>
    </row>
    <row r="131">
      <c r="I131" t="inlineStr"/>
      <c r="L131" t="inlineStr"/>
    </row>
    <row r="132">
      <c r="I132" t="inlineStr"/>
      <c r="L132" t="inlineStr"/>
    </row>
    <row r="133">
      <c r="I133" t="inlineStr"/>
      <c r="L133" t="inlineStr"/>
    </row>
    <row r="134">
      <c r="I134" t="inlineStr"/>
      <c r="L134" t="inlineStr"/>
    </row>
    <row r="135">
      <c r="I135" t="inlineStr"/>
      <c r="L135" t="inlineStr"/>
    </row>
    <row r="136">
      <c r="I136" t="inlineStr"/>
      <c r="L136" t="inlineStr"/>
    </row>
    <row r="137">
      <c r="I137" t="inlineStr"/>
      <c r="L137" t="inlineStr"/>
    </row>
    <row r="138">
      <c r="I138" t="inlineStr"/>
      <c r="L138" t="inlineStr"/>
    </row>
    <row r="139">
      <c r="I139" t="inlineStr"/>
      <c r="L139" t="inlineStr"/>
    </row>
    <row r="140">
      <c r="I140" t="inlineStr"/>
      <c r="L140" t="inlineStr"/>
    </row>
    <row r="141">
      <c r="I141" t="inlineStr"/>
      <c r="L141" t="inlineStr"/>
    </row>
    <row r="142">
      <c r="I142" t="inlineStr"/>
      <c r="L142" t="inlineStr"/>
    </row>
    <row r="143">
      <c r="I143" t="inlineStr"/>
      <c r="L143" t="inlineStr"/>
    </row>
    <row r="144">
      <c r="I144" t="inlineStr"/>
      <c r="L144" t="inlineStr"/>
    </row>
    <row r="145">
      <c r="I145" t="inlineStr"/>
      <c r="L145" t="inlineStr"/>
    </row>
    <row r="146">
      <c r="I146" t="inlineStr"/>
      <c r="L146" t="inlineStr"/>
    </row>
    <row r="147">
      <c r="I147" t="inlineStr"/>
      <c r="L147" t="inlineStr"/>
    </row>
    <row r="148">
      <c r="I148" t="inlineStr"/>
      <c r="L148" t="inlineStr"/>
    </row>
    <row r="149">
      <c r="I149" t="inlineStr"/>
      <c r="L149" t="inlineStr"/>
    </row>
    <row r="150">
      <c r="I150" t="inlineStr"/>
      <c r="L150" t="inlineStr"/>
    </row>
    <row r="151">
      <c r="I151" t="inlineStr"/>
      <c r="L151" t="inlineStr"/>
    </row>
    <row r="152">
      <c r="I152" t="inlineStr"/>
      <c r="L152" t="inlineStr"/>
    </row>
    <row r="153">
      <c r="I153" t="inlineStr"/>
      <c r="L153" t="inlineStr"/>
    </row>
    <row r="154">
      <c r="I154" t="inlineStr"/>
      <c r="L154" t="inlineStr"/>
    </row>
    <row r="155">
      <c r="I155" t="inlineStr"/>
      <c r="L155" t="inlineStr"/>
    </row>
    <row r="156">
      <c r="I156" t="inlineStr"/>
      <c r="L156" t="inlineStr"/>
    </row>
    <row r="157">
      <c r="I157" t="inlineStr"/>
      <c r="L157" t="inlineStr"/>
    </row>
    <row r="158">
      <c r="I158" t="inlineStr"/>
      <c r="L158" t="inlineStr"/>
    </row>
    <row r="159">
      <c r="I159" t="inlineStr"/>
      <c r="L159" t="inlineStr"/>
    </row>
    <row r="160">
      <c r="I160" t="inlineStr"/>
      <c r="L160" t="inlineStr"/>
    </row>
    <row r="161">
      <c r="I161" t="inlineStr"/>
      <c r="L161" t="inlineStr"/>
    </row>
    <row r="162">
      <c r="I162" t="inlineStr"/>
      <c r="L162" t="inlineStr"/>
    </row>
    <row r="163">
      <c r="I163" t="inlineStr"/>
      <c r="L163" t="inlineStr"/>
    </row>
    <row r="164">
      <c r="I164" t="inlineStr"/>
      <c r="L164" t="inlineStr"/>
    </row>
    <row r="165">
      <c r="I165" t="inlineStr"/>
      <c r="L165" t="inlineStr"/>
    </row>
    <row r="166">
      <c r="I166" t="inlineStr"/>
      <c r="L166" t="inlineStr"/>
    </row>
    <row r="167">
      <c r="I167" t="inlineStr"/>
      <c r="L167" t="inlineStr"/>
    </row>
    <row r="168">
      <c r="I168" t="inlineStr"/>
      <c r="L168" t="inlineStr"/>
    </row>
    <row r="169">
      <c r="I169" t="inlineStr"/>
      <c r="L169" t="inlineStr"/>
    </row>
    <row r="170">
      <c r="I170" t="inlineStr"/>
      <c r="L170" t="inlineStr"/>
    </row>
    <row r="171">
      <c r="I171" t="inlineStr"/>
      <c r="L171" t="inlineStr"/>
    </row>
    <row r="172">
      <c r="I172" t="inlineStr"/>
      <c r="L172" t="inlineStr"/>
    </row>
    <row r="173">
      <c r="I173" t="inlineStr"/>
      <c r="L173" t="inlineStr"/>
    </row>
    <row r="174">
      <c r="I174" t="inlineStr"/>
      <c r="L174" t="inlineStr"/>
    </row>
    <row r="175">
      <c r="I175" t="inlineStr"/>
      <c r="L175" t="inlineStr"/>
    </row>
    <row r="176">
      <c r="I176" t="inlineStr"/>
      <c r="L176" t="inlineStr"/>
    </row>
    <row r="177">
      <c r="I177" t="inlineStr"/>
      <c r="L177" t="inlineStr"/>
    </row>
    <row r="178">
      <c r="I178" t="inlineStr"/>
      <c r="L178" t="inlineStr"/>
    </row>
    <row r="179">
      <c r="I179" t="inlineStr"/>
      <c r="L179" t="inlineStr"/>
    </row>
    <row r="180">
      <c r="I180" t="inlineStr"/>
      <c r="L180" t="inlineStr"/>
    </row>
    <row r="181">
      <c r="I181" t="inlineStr"/>
      <c r="L181" t="inlineStr"/>
    </row>
    <row r="182">
      <c r="I182" t="inlineStr"/>
      <c r="L182" t="inlineStr"/>
    </row>
    <row r="183">
      <c r="I183" t="inlineStr"/>
      <c r="L183" t="inlineStr"/>
    </row>
    <row r="184">
      <c r="I184" t="inlineStr"/>
      <c r="L184" t="inlineStr"/>
    </row>
    <row r="185">
      <c r="I185" t="inlineStr"/>
      <c r="L185" t="inlineStr"/>
    </row>
    <row r="186">
      <c r="I186" t="inlineStr"/>
      <c r="L186" t="inlineStr"/>
    </row>
    <row r="187">
      <c r="I187" t="inlineStr"/>
      <c r="L187" t="inlineStr"/>
    </row>
    <row r="188">
      <c r="I188" t="inlineStr"/>
      <c r="L188" t="inlineStr"/>
    </row>
    <row r="189">
      <c r="I189" t="inlineStr"/>
      <c r="L189" t="inlineStr"/>
    </row>
    <row r="190">
      <c r="I190" t="inlineStr"/>
      <c r="L190" t="inlineStr"/>
    </row>
    <row r="191">
      <c r="I191" t="inlineStr"/>
      <c r="L191" t="inlineStr"/>
    </row>
    <row r="192">
      <c r="I192" t="inlineStr"/>
      <c r="L192" t="inlineStr"/>
    </row>
    <row r="193">
      <c r="I193" t="inlineStr"/>
      <c r="L193" t="inlineStr"/>
    </row>
    <row r="194">
      <c r="I194" t="inlineStr"/>
      <c r="L194" t="inlineStr"/>
    </row>
    <row r="195">
      <c r="I195" t="inlineStr"/>
      <c r="L195" t="inlineStr"/>
    </row>
    <row r="196">
      <c r="I196" t="inlineStr"/>
      <c r="L196" t="inlineStr"/>
    </row>
    <row r="197">
      <c r="I197" t="inlineStr"/>
      <c r="L197" t="inlineStr"/>
    </row>
    <row r="198">
      <c r="I198" t="inlineStr"/>
      <c r="L198" t="inlineStr"/>
    </row>
    <row r="199">
      <c r="I199" t="inlineStr"/>
      <c r="L199" t="inlineStr"/>
    </row>
    <row r="200">
      <c r="I200" t="inlineStr"/>
      <c r="L200" t="inlineStr"/>
    </row>
    <row r="201">
      <c r="I201" t="inlineStr"/>
      <c r="L201" t="inlineStr"/>
    </row>
    <row r="202">
      <c r="I202" t="inlineStr"/>
      <c r="L202" t="inlineStr"/>
    </row>
    <row r="203">
      <c r="I203" t="inlineStr"/>
      <c r="L203" t="inlineStr"/>
    </row>
    <row r="204">
      <c r="I204" t="inlineStr"/>
      <c r="L204" t="inlineStr"/>
    </row>
    <row r="205">
      <c r="I205" t="inlineStr"/>
      <c r="L205" t="inlineStr"/>
    </row>
    <row r="206">
      <c r="I206" t="inlineStr"/>
      <c r="L206" t="inlineStr"/>
    </row>
    <row r="207">
      <c r="I207" t="inlineStr"/>
      <c r="L207" t="inlineStr"/>
    </row>
    <row r="208">
      <c r="I208" t="inlineStr"/>
      <c r="L208" t="inlineStr"/>
    </row>
    <row r="209">
      <c r="I209" t="inlineStr"/>
      <c r="L209" t="inlineStr"/>
    </row>
    <row r="210">
      <c r="I210" t="inlineStr"/>
      <c r="L210" t="inlineStr"/>
    </row>
    <row r="211">
      <c r="I211" t="inlineStr"/>
      <c r="L211" t="inlineStr"/>
    </row>
    <row r="212">
      <c r="I212" t="inlineStr"/>
      <c r="L212" t="inlineStr"/>
    </row>
    <row r="213">
      <c r="I213" t="inlineStr"/>
      <c r="L213" t="inlineStr"/>
    </row>
    <row r="214">
      <c r="I214" t="inlineStr"/>
      <c r="L214" t="inlineStr"/>
    </row>
    <row r="215">
      <c r="I215" t="inlineStr"/>
      <c r="L215" t="inlineStr"/>
    </row>
    <row r="216">
      <c r="I216" t="inlineStr"/>
      <c r="L216" t="inlineStr"/>
    </row>
    <row r="217">
      <c r="I217" t="inlineStr"/>
      <c r="L217" t="inlineStr"/>
    </row>
    <row r="218">
      <c r="I218" t="inlineStr"/>
      <c r="L218" t="inlineStr"/>
    </row>
    <row r="219">
      <c r="I219" t="inlineStr"/>
      <c r="L219" t="inlineStr"/>
    </row>
    <row r="220"/>
    <row r="221"/>
    <row r="222">
      <c r="D222" s="70" t="n"/>
      <c r="F222" s="6" t="inlineStr">
        <is>
          <t xml:space="preserve">                                                                                                                                      </t>
        </is>
      </c>
    </row>
    <row r="223"/>
    <row r="224">
      <c r="F224" s="22" t="n"/>
    </row>
  </sheetData>
  <autoFilter ref="B4:M219"/>
  <mergeCells count="10">
    <mergeCell ref="K3:K4"/>
    <mergeCell ref="B104:C104"/>
    <mergeCell ref="L3:L4"/>
    <mergeCell ref="B3:B4"/>
    <mergeCell ref="C3:C4"/>
    <mergeCell ref="E3:E4"/>
    <mergeCell ref="I3:I4"/>
    <mergeCell ref="J3:J4"/>
    <mergeCell ref="F3:H3"/>
    <mergeCell ref="B2:D2"/>
  </mergeCells>
  <printOptions horizontalCentered="1"/>
  <pageMargins left="0.7" right="0.7" top="0.75" bottom="0.75" header="0.3" footer="0.3"/>
  <pageSetup orientation="landscape" scale="37" horizontalDpi="360" verticalDpi="360"/>
</worksheet>
</file>

<file path=xl/worksheets/sheet2.xml><?xml version="1.0" encoding="utf-8"?>
<worksheet xmlns="http://schemas.openxmlformats.org/spreadsheetml/2006/main">
  <sheetPr>
    <tabColor rgb="FF00B0F0"/>
    <outlinePr summaryBelow="1" summaryRight="1"/>
    <pageSetUpPr/>
  </sheetPr>
  <dimension ref="B2:O21"/>
  <sheetViews>
    <sheetView zoomScale="85" zoomScaleNormal="85" workbookViewId="0">
      <pane xSplit="3" ySplit="4" topLeftCell="J5" activePane="bottomRight" state="frozen"/>
      <selection pane="topRight" activeCell="D1" sqref="D1"/>
      <selection pane="bottomLeft" activeCell="A12" sqref="A12"/>
      <selection pane="bottomRight" activeCell="L10" sqref="L10"/>
    </sheetView>
  </sheetViews>
  <sheetFormatPr baseColWidth="8" defaultRowHeight="14.5"/>
  <cols>
    <col width="6.26953125" customWidth="1" min="2" max="2"/>
    <col width="54" customWidth="1" min="3" max="3"/>
    <col width="24.453125" customWidth="1" min="4" max="4"/>
    <col width="28.453125" customWidth="1" min="5" max="6"/>
    <col width="13.81640625" customWidth="1" style="4" min="7" max="7"/>
    <col width="13.81640625" customWidth="1" min="8" max="8"/>
    <col width="13.81640625" customWidth="1" style="6" min="9" max="11"/>
    <col width="48.54296875" customWidth="1" min="12" max="12"/>
    <col width="18.81640625" customWidth="1" min="13" max="13"/>
    <col width="18.81640625" customWidth="1" style="3" min="14" max="14"/>
    <col width="32.26953125" customWidth="1" min="15" max="15"/>
    <col width="9.1796875" customWidth="1" min="16" max="16"/>
  </cols>
  <sheetData>
    <row r="2" ht="18.5" customHeight="1">
      <c r="B2" s="53" t="inlineStr">
        <is>
          <t>GUDANG NON BULOG FILIAL KANCAB INDRAMAYU TH 2026</t>
        </is>
      </c>
    </row>
    <row r="3" ht="15" customHeight="1">
      <c r="B3" s="47" t="inlineStr">
        <is>
          <t>NO</t>
        </is>
      </c>
      <c r="C3" s="47" t="inlineStr">
        <is>
          <t>NAMA GUDANG FILIAL</t>
        </is>
      </c>
      <c r="D3" s="47" t="inlineStr">
        <is>
          <t>SDI KANCAB</t>
        </is>
      </c>
      <c r="E3" s="47" t="inlineStr">
        <is>
          <t>SDI IZIN PRINSIP KANWIL</t>
        </is>
      </c>
      <c r="F3" s="47" t="inlineStr">
        <is>
          <t>SDI PENGAJUAN DROPPING</t>
        </is>
      </c>
      <c r="G3" s="47" t="inlineStr">
        <is>
          <t>STATUS</t>
        </is>
      </c>
      <c r="H3" s="57" t="inlineStr">
        <is>
          <t>KAPASITAS (TON)</t>
        </is>
      </c>
      <c r="I3" s="58" t="inlineStr">
        <is>
          <t>UKURAN</t>
        </is>
      </c>
      <c r="J3" s="59" t="n"/>
      <c r="K3" s="60" t="n"/>
      <c r="L3" s="47" t="inlineStr">
        <is>
          <t>LOKASI</t>
        </is>
      </c>
      <c r="M3" s="47" t="inlineStr">
        <is>
          <t>GUDANG INDUK</t>
        </is>
      </c>
      <c r="N3" s="52" t="inlineStr">
        <is>
          <t>DIBUAT DI ERP</t>
        </is>
      </c>
      <c r="O3" s="49" t="inlineStr">
        <is>
          <t>KETERANGAN</t>
        </is>
      </c>
    </row>
    <row r="4" ht="27.75" customHeight="1">
      <c r="B4" s="62" t="n"/>
      <c r="C4" s="62" t="n"/>
      <c r="D4" s="62" t="n"/>
      <c r="E4" s="62" t="n"/>
      <c r="F4" s="62" t="n"/>
      <c r="G4" s="62" t="n"/>
      <c r="H4" s="62" t="n"/>
      <c r="I4" s="26" t="inlineStr">
        <is>
          <t>PANJANG (M)</t>
        </is>
      </c>
      <c r="J4" s="26" t="inlineStr">
        <is>
          <t>LEBAR (M)</t>
        </is>
      </c>
      <c r="K4" s="26" t="inlineStr">
        <is>
          <t>TINGGI (M)</t>
        </is>
      </c>
      <c r="L4" s="62" t="n"/>
      <c r="M4" s="62" t="n"/>
      <c r="N4" s="71" t="n"/>
      <c r="O4" s="62" t="n"/>
    </row>
    <row r="5" ht="15" customHeight="1">
      <c r="B5" s="2" t="n">
        <v>1</v>
      </c>
      <c r="C5" s="1" t="inlineStr">
        <is>
          <t>GUDANG CV DIGJAYA UNIT 1 MINYAK GORENG BANPANG FEB-MAR 2026</t>
        </is>
      </c>
      <c r="D5" s="2" t="inlineStr">
        <is>
          <t>SDI-152/10D02/10032026</t>
        </is>
      </c>
      <c r="E5" s="2" t="inlineStr">
        <is>
          <t>SDI-997/10020/PG.04/08042026</t>
        </is>
      </c>
      <c r="F5" s="2" t="inlineStr">
        <is>
          <t>SDI-559/10D02/09072026</t>
        </is>
      </c>
      <c r="G5" s="2" t="inlineStr">
        <is>
          <t>SEWA</t>
        </is>
      </c>
      <c r="H5" s="72" t="n">
        <v>41800</v>
      </c>
      <c r="I5" s="7" t="n">
        <v>20</v>
      </c>
      <c r="J5" s="7" t="n">
        <v>16</v>
      </c>
      <c r="K5" s="7" t="n"/>
      <c r="L5" s="1" t="inlineStr">
        <is>
          <t>BLOK TEGAL SEMAYA RT03 RT02 DS SINGAKERTA KEC KRANGKENF INDRAMAYU</t>
        </is>
      </c>
      <c r="M5" s="1" t="inlineStr">
        <is>
          <t>SINGAKERTA 1</t>
        </is>
      </c>
      <c r="N5" s="13" t="n"/>
      <c r="O5" s="1" t="n"/>
    </row>
    <row r="6" ht="15" customHeight="1">
      <c r="B6" s="2">
        <f>+B5+1</f>
        <v/>
      </c>
      <c r="C6" s="1" t="inlineStr">
        <is>
          <t>GUDANG CV DIGJAYA UNIT 2 MINYAK GORENG BANPANG FEB-MAR 2026</t>
        </is>
      </c>
      <c r="D6" s="2" t="inlineStr">
        <is>
          <t>SDI-152/10D02/10032026</t>
        </is>
      </c>
      <c r="E6" s="2" t="inlineStr">
        <is>
          <t>SDI-997/10020/PG.04/08042026</t>
        </is>
      </c>
      <c r="F6" s="2" t="inlineStr">
        <is>
          <t>SDI-559/10D02/09072026</t>
        </is>
      </c>
      <c r="G6" s="2" t="inlineStr">
        <is>
          <t>SEWA</t>
        </is>
      </c>
      <c r="H6" s="62" t="n"/>
      <c r="I6" s="7" t="n">
        <v>31</v>
      </c>
      <c r="J6" s="7" t="n">
        <v>16</v>
      </c>
      <c r="K6" s="7" t="n"/>
      <c r="L6" s="1" t="n"/>
      <c r="M6" s="1" t="n"/>
      <c r="N6" s="13" t="n"/>
      <c r="O6" s="1" t="n"/>
    </row>
    <row r="7" ht="15" customHeight="1">
      <c r="B7" s="2">
        <f>+B6+1</f>
        <v/>
      </c>
      <c r="C7" s="1" t="n"/>
      <c r="D7" s="2" t="n"/>
      <c r="E7" s="2" t="n"/>
      <c r="F7" s="2" t="n"/>
      <c r="G7" s="2" t="n"/>
      <c r="H7" s="73" t="n"/>
      <c r="I7" s="7" t="n"/>
      <c r="J7" s="7" t="n"/>
      <c r="K7" s="7" t="n"/>
      <c r="L7" s="1" t="n"/>
      <c r="M7" s="1" t="n"/>
      <c r="N7" s="13" t="n"/>
      <c r="O7" s="1" t="n"/>
    </row>
    <row r="8" ht="15" customHeight="1">
      <c r="B8" s="2">
        <f>+B7+1</f>
        <v/>
      </c>
      <c r="C8" s="1" t="n"/>
      <c r="D8" s="2" t="n"/>
      <c r="E8" s="2" t="n"/>
      <c r="F8" s="2" t="n"/>
      <c r="G8" s="2" t="n"/>
      <c r="H8" s="73" t="n"/>
      <c r="I8" s="7" t="n"/>
      <c r="J8" s="7" t="n"/>
      <c r="K8" s="7" t="n"/>
      <c r="L8" s="1" t="n"/>
      <c r="M8" s="1" t="n"/>
      <c r="N8" s="13" t="n"/>
      <c r="O8" s="1" t="n"/>
    </row>
    <row r="9" ht="15" customHeight="1">
      <c r="B9" s="2">
        <f>+B8+1</f>
        <v/>
      </c>
      <c r="C9" s="1" t="n"/>
      <c r="D9" s="2" t="n"/>
      <c r="E9" s="2" t="n"/>
      <c r="F9" s="2" t="n"/>
      <c r="G9" s="2" t="n"/>
      <c r="H9" s="73" t="n"/>
      <c r="I9" s="7" t="n"/>
      <c r="J9" s="7" t="n"/>
      <c r="K9" s="7" t="n"/>
      <c r="L9" s="1" t="n"/>
      <c r="M9" s="1" t="n"/>
      <c r="N9" s="13" t="n"/>
      <c r="O9" s="1" t="n"/>
    </row>
    <row r="10" ht="15" customHeight="1">
      <c r="B10" s="2">
        <f>+B9+1</f>
        <v/>
      </c>
      <c r="C10" s="1" t="n"/>
      <c r="D10" s="2" t="n"/>
      <c r="E10" s="2" t="n"/>
      <c r="F10" s="2" t="n"/>
      <c r="G10" s="2" t="n"/>
      <c r="H10" s="74" t="n"/>
      <c r="I10" s="7" t="n"/>
      <c r="J10" s="7" t="n"/>
      <c r="K10" s="7" t="n"/>
      <c r="L10" s="1" t="n"/>
      <c r="M10" s="1" t="n"/>
      <c r="N10" s="13" t="n"/>
      <c r="O10" s="1" t="n"/>
    </row>
    <row r="11" ht="15" customHeight="1">
      <c r="B11" s="2">
        <f>+B10+1</f>
        <v/>
      </c>
      <c r="C11" s="1" t="n"/>
      <c r="D11" s="2" t="n"/>
      <c r="E11" s="2" t="n"/>
      <c r="F11" s="2" t="n"/>
      <c r="G11" s="2" t="n"/>
      <c r="H11" s="74" t="n"/>
      <c r="I11" s="7" t="n"/>
      <c r="J11" s="7" t="n"/>
      <c r="K11" s="7" t="n"/>
      <c r="L11" s="1" t="n"/>
      <c r="M11" s="1" t="n"/>
      <c r="N11" s="13" t="n"/>
      <c r="O11" s="1" t="n"/>
    </row>
    <row r="12" ht="15" customHeight="1">
      <c r="B12" s="2">
        <f>+B11+1</f>
        <v/>
      </c>
      <c r="C12" s="1" t="n"/>
      <c r="D12" s="2" t="n"/>
      <c r="E12" s="2" t="n"/>
      <c r="F12" s="2" t="n"/>
      <c r="G12" s="2" t="n"/>
      <c r="H12" s="74" t="n"/>
      <c r="I12" s="7" t="n"/>
      <c r="J12" s="7" t="n"/>
      <c r="K12" s="7" t="n"/>
      <c r="L12" s="1" t="n"/>
      <c r="M12" s="1" t="n"/>
      <c r="N12" s="13" t="n"/>
      <c r="O12" s="1" t="n"/>
    </row>
    <row r="13" ht="15" customHeight="1">
      <c r="B13" s="2">
        <f>+B12+1</f>
        <v/>
      </c>
      <c r="C13" s="1" t="n"/>
      <c r="D13" s="2" t="n"/>
      <c r="E13" s="2" t="n"/>
      <c r="F13" s="2" t="n"/>
      <c r="G13" s="2" t="n"/>
      <c r="H13" s="74" t="n"/>
      <c r="I13" s="7" t="n"/>
      <c r="J13" s="7" t="n"/>
      <c r="K13" s="7" t="n"/>
      <c r="L13" s="1" t="n"/>
      <c r="M13" s="1" t="n"/>
      <c r="N13" s="13" t="n"/>
      <c r="O13" s="1" t="n"/>
    </row>
    <row r="14" ht="15" customHeight="1">
      <c r="B14" s="2">
        <f>+B13+1</f>
        <v/>
      </c>
      <c r="C14" s="1" t="n"/>
      <c r="D14" s="2" t="n"/>
      <c r="E14" s="2" t="n"/>
      <c r="F14" s="2" t="n"/>
      <c r="G14" s="2" t="n"/>
      <c r="H14" s="74" t="n"/>
      <c r="I14" s="7" t="n"/>
      <c r="J14" s="7" t="n"/>
      <c r="K14" s="7" t="n"/>
      <c r="L14" s="1" t="n"/>
      <c r="M14" s="1" t="n"/>
      <c r="N14" s="13" t="n"/>
      <c r="O14" s="1" t="n"/>
    </row>
    <row r="15" ht="15" customHeight="1">
      <c r="B15" s="2">
        <f>+B14+1</f>
        <v/>
      </c>
      <c r="C15" s="1" t="n"/>
      <c r="D15" s="2" t="n"/>
      <c r="E15" s="2" t="n"/>
      <c r="F15" s="2" t="n"/>
      <c r="G15" s="2" t="n"/>
      <c r="H15" s="74" t="n"/>
      <c r="I15" s="7" t="n"/>
      <c r="J15" s="7" t="n"/>
      <c r="K15" s="7" t="n"/>
      <c r="L15" s="1" t="n"/>
      <c r="M15" s="1" t="n"/>
      <c r="N15" s="13" t="n"/>
      <c r="O15" s="1" t="n"/>
    </row>
    <row r="16" ht="15" customHeight="1">
      <c r="B16" s="2">
        <f>+B15+1</f>
        <v/>
      </c>
      <c r="C16" s="1" t="n"/>
      <c r="D16" s="2" t="n"/>
      <c r="E16" s="2" t="n"/>
      <c r="F16" s="2" t="n"/>
      <c r="G16" s="2" t="n"/>
      <c r="H16" s="74" t="n"/>
      <c r="I16" s="7" t="n"/>
      <c r="J16" s="7" t="n"/>
      <c r="K16" s="7" t="n"/>
      <c r="L16" s="1" t="n"/>
      <c r="M16" s="1" t="n"/>
      <c r="N16" s="13" t="n"/>
      <c r="O16" s="1" t="n"/>
    </row>
    <row r="17" ht="15.75" customHeight="1">
      <c r="B17" s="47" t="inlineStr">
        <is>
          <t>TOTAL</t>
        </is>
      </c>
      <c r="C17" s="59" t="n"/>
      <c r="D17" s="59" t="n"/>
      <c r="E17" s="59" t="n"/>
      <c r="F17" s="59" t="n"/>
      <c r="G17" s="60" t="n"/>
      <c r="H17" s="75">
        <f>SUM(H5:H6)</f>
        <v/>
      </c>
      <c r="I17" s="28" t="n"/>
      <c r="J17" s="28" t="n"/>
      <c r="K17" s="28" t="n"/>
      <c r="L17" s="29" t="n"/>
      <c r="M17" s="29" t="n"/>
      <c r="N17" s="30" t="n"/>
      <c r="O17" s="31" t="n"/>
    </row>
    <row r="18">
      <c r="H18" s="68" t="n"/>
    </row>
    <row r="19">
      <c r="H19" s="69" t="n"/>
    </row>
    <row r="20">
      <c r="H20" s="69" t="n"/>
    </row>
    <row r="21">
      <c r="H21" s="69" t="n"/>
    </row>
  </sheetData>
  <autoFilter ref="B4:P17"/>
  <mergeCells count="15">
    <mergeCell ref="H5:H6"/>
    <mergeCell ref="C3:C4"/>
    <mergeCell ref="B3:B4"/>
    <mergeCell ref="O3:O4"/>
    <mergeCell ref="E3:E4"/>
    <mergeCell ref="B17:G17"/>
    <mergeCell ref="G3:G4"/>
    <mergeCell ref="H3:H4"/>
    <mergeCell ref="D3:D4"/>
    <mergeCell ref="L3:L4"/>
    <mergeCell ref="M3:M4"/>
    <mergeCell ref="N3:N4"/>
    <mergeCell ref="F3:F4"/>
    <mergeCell ref="I3:K3"/>
    <mergeCell ref="B2:D2"/>
  </mergeCells>
  <pageMargins left="0.7" right="0.7" top="0.75" bottom="0.75" header="0.3" footer="0.3"/>
  <pageSetup orientation="landscape" scale="80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BULOG</dc:creator>
  <dcterms:created xmlns:dcterms="http://purl.org/dc/terms/" xmlns:xsi="http://www.w3.org/2001/XMLSchema-instance" xsi:type="dcterms:W3CDTF">2026-02-19T01:56:51Z</dcterms:created>
  <dcterms:modified xmlns:dcterms="http://purl.org/dc/terms/" xmlns:xsi="http://www.w3.org/2001/XMLSchema-instance" xsi:type="dcterms:W3CDTF">2026-10-10T17:46:13Z</dcterms:modified>
  <cp:lastModifiedBy>Papad Cantik</cp:lastModifiedBy>
  <cp:lastPrinted>2026-07-13T04:30:17Z</cp:lastPrinted>
</cp:coreProperties>
</file>